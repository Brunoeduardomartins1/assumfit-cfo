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assumtek.sharepoint.com/sites/ASSUMTEK-TecnologiaSuporteeOperaes/Documentos Compartilhados/ASSUMFIT/Financeiro/Fluxo de caixa/Simulações/Simulações Cenários/"/>
    </mc:Choice>
  </mc:AlternateContent>
  <xr:revisionPtr revIDLastSave="0" documentId="8_{E1A5E28C-D2C7-4C80-94B8-4E4824A0179B}" xr6:coauthVersionLast="47" xr6:coauthVersionMax="47" xr10:uidLastSave="{00000000-0000-0000-0000-000000000000}"/>
  <bookViews>
    <workbookView xWindow="68640" yWindow="1380" windowWidth="38400" windowHeight="20980" firstSheet="2" activeTab="2" xr2:uid="{00000000-000D-0000-FFFF-FFFF00000000}"/>
  </bookViews>
  <sheets>
    <sheet name="Premissas" sheetId="1" state="hidden" r:id="rId1"/>
    <sheet name="DRE_Mensal" sheetId="2" r:id="rId2"/>
    <sheet name="Fluxo_Caixa_Mensal" sheetId="3" r:id="rId3"/>
    <sheet name="Proj. Vendas MUVX Core New" sheetId="7" r:id="rId4"/>
    <sheet name="Proj. Vendas MUVX Digital" sheetId="5" r:id="rId5"/>
    <sheet name="Proj. Vendas Influencia Faixa" sheetId="6" r:id="rId6"/>
    <sheet name="Proj. Vendas MUVX Core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7" i="7" l="1"/>
  <c r="K8" i="3" a="1"/>
  <c r="K8" i="3"/>
  <c r="M65" i="7"/>
  <c r="M64" i="7"/>
  <c r="C3" i="7"/>
  <c r="C6" i="7"/>
  <c r="C5" i="7"/>
  <c r="C4" i="7"/>
  <c r="C25" i="5"/>
  <c r="C6" i="5"/>
  <c r="C46" i="5"/>
  <c r="C45" i="5"/>
  <c r="K14" i="3" a="1"/>
  <c r="K14" i="3"/>
  <c r="J156" i="3"/>
  <c r="J53" i="3"/>
  <c r="J67" i="3"/>
  <c r="J55" i="3"/>
  <c r="J41" i="3"/>
  <c r="J45" i="3"/>
  <c r="J54" i="3"/>
  <c r="J38" i="3"/>
  <c r="J48" i="3"/>
  <c r="K96" i="3"/>
  <c r="L96" i="3"/>
  <c r="M96" i="3"/>
  <c r="I96" i="3"/>
  <c r="J138" i="3"/>
  <c r="I149" i="3"/>
  <c r="I147" i="3"/>
  <c r="I53" i="3"/>
  <c r="I140" i="3"/>
  <c r="I100" i="3"/>
  <c r="I38" i="3"/>
  <c r="I55" i="3"/>
  <c r="I106" i="3"/>
  <c r="I97" i="3"/>
  <c r="I67" i="3"/>
  <c r="I41" i="3"/>
  <c r="I45" i="3"/>
  <c r="I48" i="3"/>
  <c r="I107" i="3"/>
  <c r="K35" i="3"/>
  <c r="J140" i="3"/>
  <c r="K140" i="3"/>
  <c r="L140" i="3"/>
  <c r="M140" i="3"/>
  <c r="L28" i="3"/>
  <c r="I150" i="3"/>
  <c r="I152" i="3"/>
  <c r="I90" i="3"/>
  <c r="I40" i="3"/>
  <c r="J37" i="3"/>
  <c r="I113" i="3"/>
  <c r="I151" i="3"/>
  <c r="I87" i="3"/>
  <c r="I68" i="3"/>
  <c r="H87" i="3"/>
  <c r="I138" i="3"/>
  <c r="I99" i="3"/>
  <c r="T62" i="3"/>
  <c r="T63" i="3"/>
  <c r="T64" i="3"/>
  <c r="T65" i="3"/>
  <c r="T66" i="3"/>
  <c r="B158" i="3"/>
  <c r="C158" i="3"/>
  <c r="D158" i="3"/>
  <c r="E158" i="3"/>
  <c r="F158" i="3"/>
  <c r="G158" i="3"/>
  <c r="H158" i="3"/>
  <c r="I158" i="3"/>
  <c r="B151" i="3"/>
  <c r="C151" i="3"/>
  <c r="D151" i="3"/>
  <c r="E151" i="3"/>
  <c r="F151" i="3"/>
  <c r="G151" i="3"/>
  <c r="H151" i="3"/>
  <c r="B142" i="3"/>
  <c r="B116" i="3"/>
  <c r="C116" i="3"/>
  <c r="D116" i="3"/>
  <c r="E116" i="3"/>
  <c r="F116" i="3"/>
  <c r="G116" i="3"/>
  <c r="H116" i="3"/>
  <c r="T11" i="3"/>
  <c r="R100" i="7"/>
  <c r="Z66" i="7"/>
  <c r="Z67" i="7"/>
  <c r="Z68" i="7"/>
  <c r="Z69" i="7"/>
  <c r="Z70" i="7"/>
  <c r="Z71" i="7"/>
  <c r="Z72" i="7"/>
  <c r="Z73" i="7"/>
  <c r="Z74" i="7"/>
  <c r="Z75" i="7"/>
  <c r="Z76" i="7"/>
  <c r="Z77" i="7"/>
  <c r="W3" i="7"/>
  <c r="X64" i="7" s="1"/>
  <c r="E90" i="7"/>
  <c r="G89" i="7"/>
  <c r="E89" i="7"/>
  <c r="E88" i="7"/>
  <c r="I78" i="7"/>
  <c r="G78" i="7"/>
  <c r="E78" i="7"/>
  <c r="S77" i="7"/>
  <c r="P77" i="7"/>
  <c r="S76" i="7"/>
  <c r="P76" i="7"/>
  <c r="S75" i="7"/>
  <c r="P75" i="7"/>
  <c r="B75" i="7" a="1"/>
  <c r="B75" i="7" s="1"/>
  <c r="S74" i="7"/>
  <c r="P74" i="7"/>
  <c r="B74" i="7" a="1"/>
  <c r="B74" i="7" s="1"/>
  <c r="S73" i="7"/>
  <c r="P73" i="7"/>
  <c r="B73" i="7" a="1"/>
  <c r="B73" i="7" s="1"/>
  <c r="S72" i="7"/>
  <c r="P72" i="7"/>
  <c r="B72" i="7" a="1"/>
  <c r="B72" i="7" s="1"/>
  <c r="S71" i="7"/>
  <c r="P71" i="7"/>
  <c r="B71" i="7" a="1"/>
  <c r="B71" i="7" s="1"/>
  <c r="S70" i="7"/>
  <c r="P70" i="7"/>
  <c r="B70" i="7" a="1"/>
  <c r="B70" i="7" s="1"/>
  <c r="S69" i="7"/>
  <c r="P69" i="7"/>
  <c r="B69" i="7" a="1"/>
  <c r="B69" i="7" s="1"/>
  <c r="S68" i="7"/>
  <c r="P68" i="7"/>
  <c r="B68" i="7" a="1"/>
  <c r="B68" i="7" s="1"/>
  <c r="S67" i="7"/>
  <c r="P67" i="7"/>
  <c r="B67" i="7" a="1"/>
  <c r="B67" i="7" s="1"/>
  <c r="S66" i="7"/>
  <c r="P66" i="7"/>
  <c r="C66" i="7"/>
  <c r="B66" i="7" a="1"/>
  <c r="B66" i="7" s="1"/>
  <c r="Z65" i="7"/>
  <c r="T65" i="7"/>
  <c r="S65" i="7"/>
  <c r="P65" i="7"/>
  <c r="D65" i="7"/>
  <c r="B65" i="7" a="1"/>
  <c r="B65" i="7" s="1"/>
  <c r="AH64" i="7"/>
  <c r="AD64" i="7"/>
  <c r="AC64" i="7"/>
  <c r="Z64" i="7"/>
  <c r="W64" i="7"/>
  <c r="T64" i="7"/>
  <c r="S64" i="7"/>
  <c r="P64" i="7"/>
  <c r="B64" i="7" a="1"/>
  <c r="B64" i="7" s="1"/>
  <c r="K59" i="7"/>
  <c r="J59" i="7"/>
  <c r="I59" i="7"/>
  <c r="G59" i="7"/>
  <c r="K58" i="7"/>
  <c r="J58" i="7"/>
  <c r="I58" i="7"/>
  <c r="G58" i="7"/>
  <c r="F58" i="7"/>
  <c r="H58" i="7" s="1"/>
  <c r="R57" i="7"/>
  <c r="O57" i="7"/>
  <c r="K57" i="7"/>
  <c r="J57" i="7"/>
  <c r="X56" i="7"/>
  <c r="K56" i="7"/>
  <c r="J56" i="7"/>
  <c r="I56" i="7"/>
  <c r="G56" i="7"/>
  <c r="E56" i="7"/>
  <c r="B56" i="7"/>
  <c r="X55" i="7"/>
  <c r="K55" i="7"/>
  <c r="J55" i="7"/>
  <c r="I55" i="7"/>
  <c r="G55" i="7"/>
  <c r="E55" i="7"/>
  <c r="B55" i="7"/>
  <c r="X54" i="7"/>
  <c r="K54" i="7"/>
  <c r="J54" i="7"/>
  <c r="I54" i="7"/>
  <c r="G54" i="7"/>
  <c r="E54" i="7"/>
  <c r="X53" i="7"/>
  <c r="K53" i="7"/>
  <c r="J53" i="7"/>
  <c r="I53" i="7"/>
  <c r="G53" i="7"/>
  <c r="E53" i="7"/>
  <c r="X52" i="7"/>
  <c r="K52" i="7"/>
  <c r="J52" i="7"/>
  <c r="I52" i="7"/>
  <c r="G52" i="7"/>
  <c r="E52" i="7"/>
  <c r="X51" i="7"/>
  <c r="K51" i="7"/>
  <c r="J51" i="7"/>
  <c r="I51" i="7"/>
  <c r="G51" i="7"/>
  <c r="E51" i="7"/>
  <c r="X50" i="7"/>
  <c r="K50" i="7"/>
  <c r="J50" i="7"/>
  <c r="I50" i="7"/>
  <c r="G50" i="7"/>
  <c r="E50" i="7"/>
  <c r="X49" i="7"/>
  <c r="K49" i="7"/>
  <c r="J49" i="7"/>
  <c r="I49" i="7"/>
  <c r="G49" i="7"/>
  <c r="E49" i="7"/>
  <c r="X48" i="7"/>
  <c r="K48" i="7"/>
  <c r="J48" i="7"/>
  <c r="I48" i="7"/>
  <c r="G48" i="7"/>
  <c r="X47" i="7"/>
  <c r="K47" i="7"/>
  <c r="J47" i="7"/>
  <c r="I47" i="7"/>
  <c r="G47" i="7"/>
  <c r="E47" i="7"/>
  <c r="X46" i="7"/>
  <c r="K46" i="7"/>
  <c r="J46" i="7"/>
  <c r="I46" i="7"/>
  <c r="G46" i="7"/>
  <c r="E46" i="7"/>
  <c r="X45" i="7"/>
  <c r="S45" i="7"/>
  <c r="K45" i="7"/>
  <c r="J45" i="7"/>
  <c r="I45" i="7"/>
  <c r="G45" i="7"/>
  <c r="E45" i="7"/>
  <c r="X44" i="7"/>
  <c r="T44" i="7"/>
  <c r="K44" i="7"/>
  <c r="J44" i="7"/>
  <c r="I44" i="7"/>
  <c r="G44" i="7"/>
  <c r="E44" i="7"/>
  <c r="F44" i="7" s="1"/>
  <c r="H44" i="7" s="1"/>
  <c r="L44" i="7" s="1"/>
  <c r="C44" i="7"/>
  <c r="AD43" i="7"/>
  <c r="X43" i="7"/>
  <c r="K43" i="7"/>
  <c r="J43" i="7"/>
  <c r="I43" i="7"/>
  <c r="G43" i="7"/>
  <c r="E43" i="7"/>
  <c r="C43" i="7"/>
  <c r="K39" i="7"/>
  <c r="J39" i="7"/>
  <c r="I39" i="7"/>
  <c r="G39" i="7"/>
  <c r="K38" i="7"/>
  <c r="J38" i="7"/>
  <c r="I38" i="7"/>
  <c r="G38" i="7"/>
  <c r="F38" i="7"/>
  <c r="H38" i="7" s="1"/>
  <c r="R37" i="7"/>
  <c r="O37" i="7"/>
  <c r="K37" i="7"/>
  <c r="J37" i="7"/>
  <c r="I37" i="7"/>
  <c r="G37" i="7"/>
  <c r="X36" i="7"/>
  <c r="K36" i="7"/>
  <c r="J36" i="7"/>
  <c r="I36" i="7"/>
  <c r="G36" i="7"/>
  <c r="E36" i="7"/>
  <c r="B36" i="7"/>
  <c r="X35" i="7"/>
  <c r="K35" i="7"/>
  <c r="J35" i="7"/>
  <c r="I35" i="7"/>
  <c r="G35" i="7"/>
  <c r="E35" i="7"/>
  <c r="B35" i="7"/>
  <c r="X34" i="7"/>
  <c r="K34" i="7"/>
  <c r="J34" i="7"/>
  <c r="I34" i="7"/>
  <c r="G34" i="7"/>
  <c r="E34" i="7"/>
  <c r="X33" i="7"/>
  <c r="K33" i="7"/>
  <c r="J33" i="7"/>
  <c r="I33" i="7"/>
  <c r="G33" i="7"/>
  <c r="E33" i="7"/>
  <c r="X32" i="7"/>
  <c r="K32" i="7"/>
  <c r="J32" i="7"/>
  <c r="I32" i="7"/>
  <c r="G32" i="7"/>
  <c r="E32" i="7"/>
  <c r="X31" i="7"/>
  <c r="K31" i="7"/>
  <c r="J31" i="7"/>
  <c r="I31" i="7"/>
  <c r="G31" i="7"/>
  <c r="E31" i="7"/>
  <c r="X30" i="7"/>
  <c r="K30" i="7"/>
  <c r="J30" i="7"/>
  <c r="I30" i="7"/>
  <c r="G30" i="7"/>
  <c r="E30" i="7"/>
  <c r="X29" i="7"/>
  <c r="K29" i="7"/>
  <c r="J29" i="7"/>
  <c r="I29" i="7"/>
  <c r="G29" i="7"/>
  <c r="E29" i="7"/>
  <c r="X28" i="7"/>
  <c r="K28" i="7"/>
  <c r="J28" i="7"/>
  <c r="I28" i="7"/>
  <c r="G28" i="7"/>
  <c r="X27" i="7"/>
  <c r="K27" i="7"/>
  <c r="J27" i="7"/>
  <c r="I27" i="7"/>
  <c r="G27" i="7"/>
  <c r="E27" i="7"/>
  <c r="X26" i="7"/>
  <c r="K26" i="7"/>
  <c r="J26" i="7"/>
  <c r="I26" i="7"/>
  <c r="G26" i="7"/>
  <c r="E26" i="7"/>
  <c r="X25" i="7"/>
  <c r="S25" i="7"/>
  <c r="T25" i="7" s="1"/>
  <c r="K25" i="7"/>
  <c r="J25" i="7"/>
  <c r="I25" i="7"/>
  <c r="G25" i="7"/>
  <c r="E25" i="7"/>
  <c r="X24" i="7"/>
  <c r="T24" i="7"/>
  <c r="K24" i="7"/>
  <c r="J24" i="7"/>
  <c r="I24" i="7"/>
  <c r="G24" i="7"/>
  <c r="E24" i="7"/>
  <c r="F24" i="7" s="1"/>
  <c r="C24" i="7"/>
  <c r="AD23" i="7"/>
  <c r="X23" i="7"/>
  <c r="K23" i="7"/>
  <c r="J23" i="7"/>
  <c r="I23" i="7"/>
  <c r="G23" i="7"/>
  <c r="E23" i="7"/>
  <c r="C23" i="7"/>
  <c r="I19" i="7"/>
  <c r="G19" i="7"/>
  <c r="I18" i="7"/>
  <c r="G18" i="7"/>
  <c r="R17" i="7"/>
  <c r="O17" i="7"/>
  <c r="X16" i="7"/>
  <c r="K16" i="7"/>
  <c r="J16" i="7"/>
  <c r="I16" i="7"/>
  <c r="G16" i="7"/>
  <c r="E16" i="7"/>
  <c r="B16" i="7"/>
  <c r="X15" i="7"/>
  <c r="K15" i="7"/>
  <c r="J15" i="7"/>
  <c r="I15" i="7"/>
  <c r="G15" i="7"/>
  <c r="E15" i="7"/>
  <c r="B15" i="7"/>
  <c r="X14" i="7"/>
  <c r="K14" i="7"/>
  <c r="J14" i="7"/>
  <c r="I14" i="7"/>
  <c r="G14" i="7"/>
  <c r="E14" i="7"/>
  <c r="X13" i="7"/>
  <c r="K13" i="7"/>
  <c r="J13" i="7"/>
  <c r="I13" i="7"/>
  <c r="G13" i="7"/>
  <c r="E13" i="7"/>
  <c r="X12" i="7"/>
  <c r="K12" i="7"/>
  <c r="J12" i="7"/>
  <c r="I12" i="7"/>
  <c r="G12" i="7"/>
  <c r="E12" i="7"/>
  <c r="X11" i="7"/>
  <c r="K11" i="7"/>
  <c r="J11" i="7"/>
  <c r="I11" i="7"/>
  <c r="G11" i="7"/>
  <c r="E11" i="7"/>
  <c r="X10" i="7"/>
  <c r="K10" i="7"/>
  <c r="J10" i="7"/>
  <c r="I10" i="7"/>
  <c r="G10" i="7"/>
  <c r="E10" i="7"/>
  <c r="X9" i="7"/>
  <c r="K9" i="7"/>
  <c r="J9" i="7"/>
  <c r="I9" i="7"/>
  <c r="G9" i="7"/>
  <c r="E9" i="7"/>
  <c r="X8" i="7"/>
  <c r="K8" i="7"/>
  <c r="J8" i="7"/>
  <c r="I8" i="7"/>
  <c r="G8" i="7"/>
  <c r="X7" i="7"/>
  <c r="K7" i="7"/>
  <c r="J7" i="7"/>
  <c r="I7" i="7"/>
  <c r="G7" i="7"/>
  <c r="E7" i="7"/>
  <c r="X6" i="7"/>
  <c r="K6" i="7"/>
  <c r="J6" i="7"/>
  <c r="I6" i="7"/>
  <c r="G6" i="7"/>
  <c r="E6" i="7"/>
  <c r="X5" i="7"/>
  <c r="S5" i="7"/>
  <c r="T66" i="7" s="1"/>
  <c r="K5" i="7"/>
  <c r="J5" i="7"/>
  <c r="I5" i="7"/>
  <c r="G5" i="7"/>
  <c r="E5" i="7"/>
  <c r="X4" i="7"/>
  <c r="T4" i="7"/>
  <c r="K4" i="7"/>
  <c r="J4" i="7"/>
  <c r="I4" i="7"/>
  <c r="G4" i="7"/>
  <c r="E4" i="7"/>
  <c r="F4" i="7" s="1"/>
  <c r="H4" i="7" s="1"/>
  <c r="AD3" i="7"/>
  <c r="AG64" i="7" s="1"/>
  <c r="X3" i="7"/>
  <c r="K3" i="7"/>
  <c r="J3" i="7"/>
  <c r="I3" i="7"/>
  <c r="G3" i="7"/>
  <c r="E3" i="7"/>
  <c r="S152" i="3"/>
  <c r="R152" i="3"/>
  <c r="Q152" i="3"/>
  <c r="B25" i="6"/>
  <c r="B15" i="4"/>
  <c r="B16" i="4"/>
  <c r="B35" i="4"/>
  <c r="B36" i="4"/>
  <c r="B55" i="4"/>
  <c r="B56" i="4"/>
  <c r="E62" i="5"/>
  <c r="E63" i="5"/>
  <c r="E66" i="5"/>
  <c r="E67" i="5"/>
  <c r="E68" i="5"/>
  <c r="E69" i="5"/>
  <c r="E70" i="5"/>
  <c r="E71" i="5"/>
  <c r="E72" i="5"/>
  <c r="E73" i="5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72" i="4" a="1"/>
  <c r="B72" i="4" s="1"/>
  <c r="B73" i="4" a="1"/>
  <c r="B73" i="4" s="1"/>
  <c r="B74" i="4" a="1"/>
  <c r="B74" i="4" s="1"/>
  <c r="B75" i="4" a="1"/>
  <c r="B75" i="4" s="1"/>
  <c r="B64" i="4" a="1"/>
  <c r="B64" i="4" s="1"/>
  <c r="H145" i="3"/>
  <c r="K49" i="4"/>
  <c r="D65" i="4"/>
  <c r="C7" i="5"/>
  <c r="C8" i="5" s="1"/>
  <c r="C9" i="5" s="1"/>
  <c r="C10" i="5" s="1"/>
  <c r="C11" i="5" s="1"/>
  <c r="C12" i="5" s="1"/>
  <c r="C13" i="5" s="1"/>
  <c r="C14" i="5" s="1"/>
  <c r="C15" i="5" s="1"/>
  <c r="C5" i="5"/>
  <c r="C26" i="5"/>
  <c r="C27" i="5" s="1"/>
  <c r="C28" i="5" s="1"/>
  <c r="C29" i="5" s="1"/>
  <c r="C30" i="5" s="1"/>
  <c r="C31" i="5" s="1"/>
  <c r="C32" i="5" s="1"/>
  <c r="C33" i="5" s="1"/>
  <c r="C34" i="5" s="1"/>
  <c r="C35" i="5" s="1"/>
  <c r="C64" i="5"/>
  <c r="C47" i="5"/>
  <c r="C48" i="5"/>
  <c r="C49" i="5"/>
  <c r="C50" i="5"/>
  <c r="C51" i="5" s="1"/>
  <c r="C52" i="5" s="1"/>
  <c r="C53" i="5" s="1"/>
  <c r="C54" i="5" s="1"/>
  <c r="C5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65" i="5" a="1"/>
  <c r="B65" i="5" s="1"/>
  <c r="B64" i="5" a="1"/>
  <c r="B64" i="5" s="1"/>
  <c r="B46" i="5" s="1"/>
  <c r="J87" i="3"/>
  <c r="AA4" i="5"/>
  <c r="AA24" i="5"/>
  <c r="AA44" i="5"/>
  <c r="L56" i="5"/>
  <c r="K59" i="6"/>
  <c r="D59" i="6"/>
  <c r="G43" i="6"/>
  <c r="F43" i="6"/>
  <c r="E43" i="6"/>
  <c r="B42" i="6"/>
  <c r="B26" i="6"/>
  <c r="B24" i="6"/>
  <c r="B27" i="6" s="1"/>
  <c r="B19" i="6"/>
  <c r="B18" i="6"/>
  <c r="B17" i="6"/>
  <c r="B16" i="6"/>
  <c r="B15" i="6"/>
  <c r="R89" i="5"/>
  <c r="Q92" i="5" s="1"/>
  <c r="T73" i="5"/>
  <c r="L73" i="5"/>
  <c r="I73" i="5"/>
  <c r="T72" i="5"/>
  <c r="L72" i="5"/>
  <c r="I72" i="5"/>
  <c r="T71" i="5"/>
  <c r="L71" i="5"/>
  <c r="I71" i="5"/>
  <c r="T70" i="5"/>
  <c r="L70" i="5"/>
  <c r="I70" i="5"/>
  <c r="T69" i="5"/>
  <c r="L69" i="5"/>
  <c r="I69" i="5"/>
  <c r="T68" i="5"/>
  <c r="L68" i="5"/>
  <c r="I68" i="5"/>
  <c r="T67" i="5"/>
  <c r="L67" i="5"/>
  <c r="I67" i="5"/>
  <c r="T66" i="5"/>
  <c r="L66" i="5"/>
  <c r="I66" i="5"/>
  <c r="T65" i="5"/>
  <c r="L65" i="5"/>
  <c r="I65" i="5"/>
  <c r="T64" i="5"/>
  <c r="L64" i="5"/>
  <c r="I64" i="5"/>
  <c r="T63" i="5"/>
  <c r="T74" i="5" s="1"/>
  <c r="O63" i="5"/>
  <c r="L63" i="5"/>
  <c r="I63" i="5"/>
  <c r="I74" i="5" s="1"/>
  <c r="V62" i="5"/>
  <c r="T62" i="5"/>
  <c r="O62" i="5"/>
  <c r="M62" i="5"/>
  <c r="L62" i="5"/>
  <c r="I62" i="5"/>
  <c r="C62" i="5"/>
  <c r="AA58" i="5"/>
  <c r="R58" i="5"/>
  <c r="R57" i="5"/>
  <c r="S56" i="5"/>
  <c r="I56" i="5"/>
  <c r="E56" i="5"/>
  <c r="S55" i="5"/>
  <c r="S54" i="5"/>
  <c r="S53" i="5"/>
  <c r="S52" i="5"/>
  <c r="S51" i="5"/>
  <c r="S50" i="5"/>
  <c r="S49" i="5"/>
  <c r="S48" i="5"/>
  <c r="S47" i="5"/>
  <c r="S46" i="5"/>
  <c r="S45" i="5"/>
  <c r="R45" i="5"/>
  <c r="M45" i="5"/>
  <c r="D45" i="5"/>
  <c r="F45" i="5" s="1"/>
  <c r="B45" i="5"/>
  <c r="S44" i="5"/>
  <c r="U44" i="5" s="1"/>
  <c r="R44" i="5"/>
  <c r="N44" i="5"/>
  <c r="D44" i="5"/>
  <c r="B44" i="5"/>
  <c r="S43" i="5"/>
  <c r="N43" i="5"/>
  <c r="D43" i="5"/>
  <c r="F43" i="5" s="1"/>
  <c r="H43" i="5" s="1"/>
  <c r="AD42" i="5"/>
  <c r="AD43" i="5" s="1"/>
  <c r="AD44" i="5" s="1"/>
  <c r="AD45" i="5" s="1"/>
  <c r="AB42" i="5"/>
  <c r="S42" i="5"/>
  <c r="D42" i="5"/>
  <c r="F42" i="5" s="1"/>
  <c r="AA38" i="5"/>
  <c r="R38" i="5"/>
  <c r="R37" i="5"/>
  <c r="L36" i="5"/>
  <c r="S36" i="5" s="1"/>
  <c r="I36" i="5"/>
  <c r="E36" i="5"/>
  <c r="S35" i="5"/>
  <c r="S34" i="5"/>
  <c r="S33" i="5"/>
  <c r="S32" i="5"/>
  <c r="S31" i="5"/>
  <c r="S30" i="5"/>
  <c r="S29" i="5"/>
  <c r="S28" i="5"/>
  <c r="S27" i="5"/>
  <c r="S26" i="5"/>
  <c r="S25" i="5"/>
  <c r="R25" i="5"/>
  <c r="M25" i="5"/>
  <c r="B25" i="5"/>
  <c r="D25" i="5" s="1"/>
  <c r="F25" i="5" s="1"/>
  <c r="H25" i="5" s="1"/>
  <c r="S24" i="5"/>
  <c r="U24" i="5" s="1"/>
  <c r="R24" i="5"/>
  <c r="N24" i="5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B24" i="5"/>
  <c r="S23" i="5"/>
  <c r="N23" i="5"/>
  <c r="D23" i="5"/>
  <c r="F23" i="5" s="1"/>
  <c r="H23" i="5" s="1"/>
  <c r="AD22" i="5"/>
  <c r="AD23" i="5" s="1"/>
  <c r="AD24" i="5" s="1"/>
  <c r="AD25" i="5" s="1"/>
  <c r="AB22" i="5"/>
  <c r="S22" i="5"/>
  <c r="D22" i="5"/>
  <c r="AA18" i="5"/>
  <c r="R18" i="5"/>
  <c r="R17" i="5"/>
  <c r="L16" i="5"/>
  <c r="S16" i="5" s="1"/>
  <c r="I16" i="5"/>
  <c r="E16" i="5"/>
  <c r="S15" i="5"/>
  <c r="S14" i="5"/>
  <c r="S13" i="5"/>
  <c r="S12" i="5"/>
  <c r="S11" i="5"/>
  <c r="S10" i="5"/>
  <c r="S9" i="5"/>
  <c r="S8" i="5"/>
  <c r="S7" i="5"/>
  <c r="S6" i="5"/>
  <c r="S5" i="5"/>
  <c r="R5" i="5"/>
  <c r="R63" i="5" s="1"/>
  <c r="M5" i="5"/>
  <c r="M6" i="5" s="1"/>
  <c r="B5" i="5"/>
  <c r="S4" i="5"/>
  <c r="R4" i="5"/>
  <c r="N4" i="5"/>
  <c r="B4" i="5"/>
  <c r="S3" i="5"/>
  <c r="N3" i="5"/>
  <c r="D3" i="5"/>
  <c r="F3" i="5" s="1"/>
  <c r="H3" i="5" s="1"/>
  <c r="AD2" i="5"/>
  <c r="AD3" i="5" s="1"/>
  <c r="AD4" i="5" s="1"/>
  <c r="AB2" i="5"/>
  <c r="S2" i="5"/>
  <c r="D2" i="5"/>
  <c r="E90" i="4"/>
  <c r="G89" i="4"/>
  <c r="E89" i="4"/>
  <c r="E88" i="4"/>
  <c r="I78" i="4"/>
  <c r="G78" i="4"/>
  <c r="E78" i="4"/>
  <c r="Z77" i="4"/>
  <c r="S77" i="4"/>
  <c r="P77" i="4"/>
  <c r="Z76" i="4"/>
  <c r="S76" i="4"/>
  <c r="P76" i="4"/>
  <c r="Z75" i="4"/>
  <c r="S75" i="4"/>
  <c r="P75" i="4"/>
  <c r="Z74" i="4"/>
  <c r="S74" i="4"/>
  <c r="P74" i="4"/>
  <c r="Z73" i="4"/>
  <c r="S73" i="4"/>
  <c r="P73" i="4"/>
  <c r="Z72" i="4"/>
  <c r="S72" i="4"/>
  <c r="P72" i="4"/>
  <c r="Z71" i="4"/>
  <c r="S71" i="4"/>
  <c r="P71" i="4"/>
  <c r="Z70" i="4"/>
  <c r="S70" i="4"/>
  <c r="P70" i="4"/>
  <c r="Z69" i="4"/>
  <c r="S69" i="4"/>
  <c r="P69" i="4"/>
  <c r="Z68" i="4"/>
  <c r="S68" i="4"/>
  <c r="P68" i="4"/>
  <c r="Z67" i="4"/>
  <c r="S67" i="4"/>
  <c r="P67" i="4"/>
  <c r="Z66" i="4"/>
  <c r="S66" i="4"/>
  <c r="P66" i="4"/>
  <c r="C66" i="4"/>
  <c r="Z65" i="4"/>
  <c r="T65" i="4"/>
  <c r="S65" i="4"/>
  <c r="P65" i="4"/>
  <c r="AG64" i="4"/>
  <c r="AD64" i="4"/>
  <c r="AC64" i="4"/>
  <c r="Z64" i="4"/>
  <c r="Z78" i="4" s="1"/>
  <c r="X64" i="4"/>
  <c r="W64" i="4"/>
  <c r="T64" i="4"/>
  <c r="S64" i="4"/>
  <c r="P64" i="4"/>
  <c r="P78" i="4" s="1"/>
  <c r="K59" i="4"/>
  <c r="J59" i="4"/>
  <c r="I59" i="4"/>
  <c r="G59" i="4"/>
  <c r="K58" i="4"/>
  <c r="J58" i="4"/>
  <c r="I58" i="4"/>
  <c r="G58" i="4"/>
  <c r="F58" i="4"/>
  <c r="H58" i="4" s="1"/>
  <c r="R57" i="4"/>
  <c r="O57" i="4"/>
  <c r="K57" i="4"/>
  <c r="J57" i="4"/>
  <c r="G57" i="4"/>
  <c r="X56" i="4"/>
  <c r="K56" i="4"/>
  <c r="J56" i="4"/>
  <c r="I56" i="4"/>
  <c r="G56" i="4"/>
  <c r="E56" i="4"/>
  <c r="X55" i="4"/>
  <c r="K55" i="4"/>
  <c r="J55" i="4"/>
  <c r="I55" i="4"/>
  <c r="G55" i="4"/>
  <c r="E55" i="4"/>
  <c r="X54" i="4"/>
  <c r="K54" i="4"/>
  <c r="J54" i="4"/>
  <c r="I54" i="4"/>
  <c r="G54" i="4"/>
  <c r="E54" i="4"/>
  <c r="X53" i="4"/>
  <c r="K53" i="4"/>
  <c r="J53" i="4"/>
  <c r="I53" i="4"/>
  <c r="G53" i="4"/>
  <c r="E53" i="4"/>
  <c r="X52" i="4"/>
  <c r="K52" i="4"/>
  <c r="J52" i="4"/>
  <c r="I52" i="4"/>
  <c r="G52" i="4"/>
  <c r="E52" i="4"/>
  <c r="X51" i="4"/>
  <c r="K51" i="4"/>
  <c r="J51" i="4"/>
  <c r="I51" i="4"/>
  <c r="G51" i="4"/>
  <c r="E51" i="4"/>
  <c r="X50" i="4"/>
  <c r="K50" i="4"/>
  <c r="J50" i="4"/>
  <c r="I50" i="4"/>
  <c r="G50" i="4"/>
  <c r="E50" i="4"/>
  <c r="X49" i="4"/>
  <c r="J49" i="4"/>
  <c r="I49" i="4"/>
  <c r="G49" i="4"/>
  <c r="E49" i="4"/>
  <c r="X48" i="4"/>
  <c r="K48" i="4"/>
  <c r="J48" i="4"/>
  <c r="I48" i="4"/>
  <c r="G48" i="4"/>
  <c r="X47" i="4"/>
  <c r="K47" i="4"/>
  <c r="J47" i="4"/>
  <c r="I47" i="4"/>
  <c r="G47" i="4"/>
  <c r="E47" i="4"/>
  <c r="X46" i="4"/>
  <c r="K46" i="4"/>
  <c r="J46" i="4"/>
  <c r="I46" i="4"/>
  <c r="G46" i="4"/>
  <c r="E46" i="4"/>
  <c r="X45" i="4"/>
  <c r="S45" i="4"/>
  <c r="K45" i="4"/>
  <c r="J45" i="4"/>
  <c r="I45" i="4"/>
  <c r="G45" i="4"/>
  <c r="E45" i="4"/>
  <c r="X44" i="4"/>
  <c r="T44" i="4"/>
  <c r="K44" i="4"/>
  <c r="J44" i="4"/>
  <c r="I44" i="4"/>
  <c r="G44" i="4"/>
  <c r="E44" i="4"/>
  <c r="F44" i="4" s="1"/>
  <c r="H44" i="4" s="1"/>
  <c r="L44" i="4" s="1"/>
  <c r="C44" i="4"/>
  <c r="AD43" i="4"/>
  <c r="X43" i="4"/>
  <c r="K43" i="4"/>
  <c r="J43" i="4"/>
  <c r="I43" i="4"/>
  <c r="G43" i="4"/>
  <c r="E43" i="4"/>
  <c r="C43" i="4"/>
  <c r="K39" i="4"/>
  <c r="J39" i="4"/>
  <c r="I39" i="4"/>
  <c r="G39" i="4"/>
  <c r="K38" i="4"/>
  <c r="J38" i="4"/>
  <c r="I38" i="4"/>
  <c r="G38" i="4"/>
  <c r="F38" i="4"/>
  <c r="H38" i="4" s="1"/>
  <c r="R37" i="4"/>
  <c r="O37" i="4"/>
  <c r="K37" i="4"/>
  <c r="J37" i="4"/>
  <c r="G37" i="4"/>
  <c r="X36" i="4"/>
  <c r="K36" i="4"/>
  <c r="J36" i="4"/>
  <c r="I36" i="4"/>
  <c r="G36" i="4"/>
  <c r="E36" i="4"/>
  <c r="X35" i="4"/>
  <c r="K35" i="4"/>
  <c r="J35" i="4"/>
  <c r="I35" i="4"/>
  <c r="G35" i="4"/>
  <c r="E35" i="4"/>
  <c r="X34" i="4"/>
  <c r="K34" i="4"/>
  <c r="J34" i="4"/>
  <c r="I34" i="4"/>
  <c r="G34" i="4"/>
  <c r="E34" i="4"/>
  <c r="X33" i="4"/>
  <c r="K33" i="4"/>
  <c r="J33" i="4"/>
  <c r="I33" i="4"/>
  <c r="G33" i="4"/>
  <c r="E33" i="4"/>
  <c r="X32" i="4"/>
  <c r="K32" i="4"/>
  <c r="J32" i="4"/>
  <c r="I32" i="4"/>
  <c r="G32" i="4"/>
  <c r="E32" i="4"/>
  <c r="X31" i="4"/>
  <c r="K31" i="4"/>
  <c r="J31" i="4"/>
  <c r="I31" i="4"/>
  <c r="G31" i="4"/>
  <c r="E31" i="4"/>
  <c r="X30" i="4"/>
  <c r="K30" i="4"/>
  <c r="J30" i="4"/>
  <c r="I30" i="4"/>
  <c r="G30" i="4"/>
  <c r="E30" i="4"/>
  <c r="X29" i="4"/>
  <c r="K29" i="4"/>
  <c r="J29" i="4"/>
  <c r="I29" i="4"/>
  <c r="G29" i="4"/>
  <c r="E29" i="4"/>
  <c r="X28" i="4"/>
  <c r="K28" i="4"/>
  <c r="J28" i="4"/>
  <c r="I28" i="4"/>
  <c r="G28" i="4"/>
  <c r="X27" i="4"/>
  <c r="K27" i="4"/>
  <c r="J27" i="4"/>
  <c r="I27" i="4"/>
  <c r="G27" i="4"/>
  <c r="E27" i="4"/>
  <c r="X26" i="4"/>
  <c r="K26" i="4"/>
  <c r="J26" i="4"/>
  <c r="I26" i="4"/>
  <c r="G26" i="4"/>
  <c r="E26" i="4"/>
  <c r="X25" i="4"/>
  <c r="S25" i="4"/>
  <c r="K25" i="4"/>
  <c r="J25" i="4"/>
  <c r="I25" i="4"/>
  <c r="G25" i="4"/>
  <c r="E25" i="4"/>
  <c r="X24" i="4"/>
  <c r="T24" i="4"/>
  <c r="K24" i="4"/>
  <c r="J24" i="4"/>
  <c r="I24" i="4"/>
  <c r="G24" i="4"/>
  <c r="E24" i="4"/>
  <c r="F24" i="4" s="1"/>
  <c r="H24" i="4" s="1"/>
  <c r="L24" i="4" s="1"/>
  <c r="C24" i="4"/>
  <c r="AD23" i="4"/>
  <c r="X23" i="4"/>
  <c r="K23" i="4"/>
  <c r="J23" i="4"/>
  <c r="I23" i="4"/>
  <c r="G23" i="4"/>
  <c r="E23" i="4"/>
  <c r="C23" i="4"/>
  <c r="I19" i="4"/>
  <c r="G19" i="4"/>
  <c r="I18" i="4"/>
  <c r="G18" i="4"/>
  <c r="R17" i="4"/>
  <c r="O17" i="4"/>
  <c r="G17" i="4"/>
  <c r="X16" i="4"/>
  <c r="K16" i="4"/>
  <c r="J16" i="4"/>
  <c r="I16" i="4"/>
  <c r="G16" i="4"/>
  <c r="E16" i="4"/>
  <c r="X15" i="4"/>
  <c r="K15" i="4"/>
  <c r="J15" i="4"/>
  <c r="I15" i="4"/>
  <c r="G15" i="4"/>
  <c r="E15" i="4"/>
  <c r="X14" i="4"/>
  <c r="K14" i="4"/>
  <c r="J14" i="4"/>
  <c r="I14" i="4"/>
  <c r="G14" i="4"/>
  <c r="E14" i="4"/>
  <c r="X13" i="4"/>
  <c r="K13" i="4"/>
  <c r="J13" i="4"/>
  <c r="I13" i="4"/>
  <c r="G13" i="4"/>
  <c r="E13" i="4"/>
  <c r="X12" i="4"/>
  <c r="K12" i="4"/>
  <c r="J12" i="4"/>
  <c r="I12" i="4"/>
  <c r="G12" i="4"/>
  <c r="E12" i="4"/>
  <c r="X11" i="4"/>
  <c r="Y72" i="4" s="1"/>
  <c r="K11" i="4"/>
  <c r="J11" i="4"/>
  <c r="I11" i="4"/>
  <c r="G11" i="4"/>
  <c r="E11" i="4"/>
  <c r="X10" i="4"/>
  <c r="Y71" i="4" s="1"/>
  <c r="K10" i="4"/>
  <c r="J10" i="4"/>
  <c r="I10" i="4"/>
  <c r="G10" i="4"/>
  <c r="E10" i="4"/>
  <c r="X9" i="4"/>
  <c r="Y70" i="4" s="1"/>
  <c r="K9" i="4"/>
  <c r="J9" i="4"/>
  <c r="I9" i="4"/>
  <c r="G9" i="4"/>
  <c r="E9" i="4"/>
  <c r="X8" i="4"/>
  <c r="Y69" i="4" s="1"/>
  <c r="K8" i="4"/>
  <c r="J8" i="4"/>
  <c r="I8" i="4"/>
  <c r="G8" i="4"/>
  <c r="X7" i="4"/>
  <c r="Y68" i="4" s="1"/>
  <c r="K7" i="4"/>
  <c r="J7" i="4"/>
  <c r="I7" i="4"/>
  <c r="G7" i="4"/>
  <c r="E7" i="4"/>
  <c r="X6" i="4"/>
  <c r="Y67" i="4" s="1"/>
  <c r="K6" i="4"/>
  <c r="J6" i="4"/>
  <c r="I6" i="4"/>
  <c r="G6" i="4"/>
  <c r="E6" i="4"/>
  <c r="X5" i="4"/>
  <c r="Y66" i="4" s="1"/>
  <c r="S5" i="4"/>
  <c r="T66" i="4" s="1"/>
  <c r="K5" i="4"/>
  <c r="J5" i="4"/>
  <c r="I5" i="4"/>
  <c r="G5" i="4"/>
  <c r="E5" i="4"/>
  <c r="X4" i="4"/>
  <c r="Y65" i="4" s="1"/>
  <c r="T4" i="4"/>
  <c r="K4" i="4"/>
  <c r="J4" i="4"/>
  <c r="I4" i="4"/>
  <c r="G4" i="4"/>
  <c r="E4" i="4"/>
  <c r="F4" i="4" s="1"/>
  <c r="C4" i="4"/>
  <c r="AD3" i="4"/>
  <c r="X3" i="4"/>
  <c r="K3" i="4"/>
  <c r="J3" i="4"/>
  <c r="I3" i="4"/>
  <c r="G3" i="4"/>
  <c r="E3" i="4"/>
  <c r="C3" i="4"/>
  <c r="T36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S20" i="3"/>
  <c r="N85" i="3"/>
  <c r="C84" i="3"/>
  <c r="D84" i="3"/>
  <c r="E84" i="3"/>
  <c r="F84" i="3"/>
  <c r="G84" i="3"/>
  <c r="H84" i="3"/>
  <c r="I84" i="3"/>
  <c r="J84" i="3"/>
  <c r="K84" i="3"/>
  <c r="L84" i="3"/>
  <c r="M84" i="3"/>
  <c r="B84" i="3"/>
  <c r="B77" i="3"/>
  <c r="M29" i="3"/>
  <c r="N29" i="3" s="1"/>
  <c r="O29" i="3" s="1"/>
  <c r="P29" i="3" s="1"/>
  <c r="Q29" i="3" s="1"/>
  <c r="R29" i="3" s="1"/>
  <c r="S29" i="3" s="1"/>
  <c r="I80" i="3"/>
  <c r="J80" i="3"/>
  <c r="I81" i="3"/>
  <c r="J81" i="3"/>
  <c r="K81" i="3"/>
  <c r="L81" i="3"/>
  <c r="M81" i="3"/>
  <c r="N81" i="3"/>
  <c r="O81" i="3"/>
  <c r="P81" i="3"/>
  <c r="Q81" i="3"/>
  <c r="R81" i="3"/>
  <c r="S81" i="3"/>
  <c r="I82" i="3"/>
  <c r="J82" i="3"/>
  <c r="I83" i="3"/>
  <c r="J83" i="3"/>
  <c r="K83" i="3"/>
  <c r="L83" i="3"/>
  <c r="M83" i="3"/>
  <c r="N83" i="3"/>
  <c r="O83" i="3"/>
  <c r="P83" i="3"/>
  <c r="Q83" i="3"/>
  <c r="R83" i="3"/>
  <c r="S83" i="3"/>
  <c r="H83" i="3"/>
  <c r="H82" i="3"/>
  <c r="H81" i="3"/>
  <c r="H80" i="3"/>
  <c r="T79" i="3"/>
  <c r="C77" i="3"/>
  <c r="D77" i="3"/>
  <c r="E77" i="3"/>
  <c r="F77" i="3"/>
  <c r="G77" i="3"/>
  <c r="T161" i="3"/>
  <c r="T160" i="3"/>
  <c r="T159" i="3"/>
  <c r="T157" i="3"/>
  <c r="T156" i="3"/>
  <c r="T150" i="3"/>
  <c r="T148" i="3"/>
  <c r="T147" i="3"/>
  <c r="T141" i="3"/>
  <c r="T139" i="3"/>
  <c r="T138" i="3"/>
  <c r="T137" i="3"/>
  <c r="T136" i="3"/>
  <c r="T135" i="3"/>
  <c r="T134" i="3"/>
  <c r="T133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5" i="3"/>
  <c r="T114" i="3"/>
  <c r="T113" i="3"/>
  <c r="T112" i="3"/>
  <c r="T111" i="3"/>
  <c r="T110" i="3"/>
  <c r="T106" i="3"/>
  <c r="T105" i="3"/>
  <c r="T104" i="3"/>
  <c r="T103" i="3"/>
  <c r="T102" i="3"/>
  <c r="T101" i="3"/>
  <c r="T100" i="3"/>
  <c r="T98" i="3"/>
  <c r="T97" i="3"/>
  <c r="T96" i="3"/>
  <c r="T94" i="3"/>
  <c r="T92" i="3"/>
  <c r="T91" i="3"/>
  <c r="T90" i="3"/>
  <c r="T89" i="3"/>
  <c r="T88" i="3"/>
  <c r="T78" i="3"/>
  <c r="T75" i="3"/>
  <c r="T74" i="3"/>
  <c r="T73" i="3"/>
  <c r="T72" i="3"/>
  <c r="T71" i="3"/>
  <c r="T70" i="3"/>
  <c r="T69" i="3"/>
  <c r="T67" i="3"/>
  <c r="T61" i="3"/>
  <c r="T60" i="3"/>
  <c r="T59" i="3"/>
  <c r="T58" i="3"/>
  <c r="T57" i="3"/>
  <c r="T56" i="3"/>
  <c r="T54" i="3"/>
  <c r="T53" i="3"/>
  <c r="T52" i="3"/>
  <c r="T51" i="3"/>
  <c r="T49" i="3"/>
  <c r="T47" i="3"/>
  <c r="T46" i="3"/>
  <c r="T45" i="3"/>
  <c r="T44" i="3"/>
  <c r="T43" i="3"/>
  <c r="T42" i="3"/>
  <c r="T41" i="3"/>
  <c r="T40" i="3"/>
  <c r="T39" i="3"/>
  <c r="T35" i="3"/>
  <c r="T33" i="3"/>
  <c r="T32" i="3"/>
  <c r="T31" i="3"/>
  <c r="T30" i="3"/>
  <c r="T24" i="3"/>
  <c r="T23" i="3"/>
  <c r="T22" i="3"/>
  <c r="T21" i="3"/>
  <c r="T7" i="3"/>
  <c r="T9" i="3"/>
  <c r="T13" i="3"/>
  <c r="T15" i="3"/>
  <c r="T17" i="3"/>
  <c r="T19" i="3"/>
  <c r="J158" i="3"/>
  <c r="K158" i="3"/>
  <c r="L158" i="3"/>
  <c r="M158" i="3"/>
  <c r="N158" i="3"/>
  <c r="O158" i="3"/>
  <c r="P158" i="3"/>
  <c r="Q158" i="3"/>
  <c r="R158" i="3"/>
  <c r="S158" i="3"/>
  <c r="J151" i="3"/>
  <c r="K151" i="3"/>
  <c r="L151" i="3"/>
  <c r="M151" i="3"/>
  <c r="N151" i="3"/>
  <c r="O151" i="3"/>
  <c r="P151" i="3"/>
  <c r="C145" i="3"/>
  <c r="D145" i="3"/>
  <c r="E145" i="3"/>
  <c r="F145" i="3"/>
  <c r="G145" i="3"/>
  <c r="I145" i="3"/>
  <c r="J145" i="3"/>
  <c r="K145" i="3"/>
  <c r="L145" i="3"/>
  <c r="M145" i="3"/>
  <c r="N145" i="3"/>
  <c r="O145" i="3"/>
  <c r="P145" i="3"/>
  <c r="Q145" i="3"/>
  <c r="R145" i="3"/>
  <c r="B145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C5" i="3"/>
  <c r="D143" i="3" s="1"/>
  <c r="D142" i="3" s="1"/>
  <c r="D5" i="3"/>
  <c r="E143" i="3" s="1"/>
  <c r="E142" i="3" s="1"/>
  <c r="E5" i="3"/>
  <c r="F143" i="3" s="1"/>
  <c r="F142" i="3" s="1"/>
  <c r="F5" i="3"/>
  <c r="G143" i="3" s="1"/>
  <c r="G142" i="3" s="1"/>
  <c r="G5" i="3"/>
  <c r="H143" i="3" s="1"/>
  <c r="H142" i="3" s="1"/>
  <c r="H5" i="3"/>
  <c r="I143" i="3" s="1"/>
  <c r="I142" i="3" s="1"/>
  <c r="I5" i="3"/>
  <c r="H3" i="3" s="1"/>
  <c r="B20" i="3"/>
  <c r="B5" i="3"/>
  <c r="C143" i="3" s="1"/>
  <c r="C142" i="3" s="1"/>
  <c r="J116" i="3"/>
  <c r="K116" i="3"/>
  <c r="L116" i="3"/>
  <c r="M116" i="3"/>
  <c r="N116" i="3"/>
  <c r="O116" i="3"/>
  <c r="P116" i="3"/>
  <c r="Q116" i="3"/>
  <c r="R116" i="3"/>
  <c r="S116" i="3"/>
  <c r="C99" i="3"/>
  <c r="D99" i="3"/>
  <c r="E99" i="3"/>
  <c r="F99" i="3"/>
  <c r="G99" i="3"/>
  <c r="H99" i="3"/>
  <c r="J99" i="3"/>
  <c r="K99" i="3"/>
  <c r="L99" i="3"/>
  <c r="M99" i="3"/>
  <c r="N99" i="3"/>
  <c r="O99" i="3"/>
  <c r="P99" i="3"/>
  <c r="Q99" i="3"/>
  <c r="R99" i="3"/>
  <c r="S99" i="3"/>
  <c r="B99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B95" i="3"/>
  <c r="C87" i="3"/>
  <c r="D87" i="3"/>
  <c r="E87" i="3"/>
  <c r="F87" i="3"/>
  <c r="G87" i="3"/>
  <c r="K87" i="3"/>
  <c r="L87" i="3"/>
  <c r="M87" i="3"/>
  <c r="N87" i="3"/>
  <c r="O87" i="3"/>
  <c r="P87" i="3"/>
  <c r="Q87" i="3"/>
  <c r="R87" i="3"/>
  <c r="S87" i="3"/>
  <c r="B87" i="3"/>
  <c r="C68" i="3"/>
  <c r="D68" i="3"/>
  <c r="E68" i="3"/>
  <c r="F68" i="3"/>
  <c r="G68" i="3"/>
  <c r="H68" i="3"/>
  <c r="J68" i="3"/>
  <c r="K68" i="3"/>
  <c r="L68" i="3"/>
  <c r="M68" i="3"/>
  <c r="N68" i="3"/>
  <c r="O68" i="3"/>
  <c r="P68" i="3"/>
  <c r="Q68" i="3"/>
  <c r="R68" i="3"/>
  <c r="S68" i="3"/>
  <c r="C37" i="3"/>
  <c r="D37" i="3"/>
  <c r="E37" i="3"/>
  <c r="F37" i="3"/>
  <c r="G37" i="3"/>
  <c r="H37" i="3"/>
  <c r="B68" i="3"/>
  <c r="B37" i="3"/>
  <c r="C27" i="3"/>
  <c r="D27" i="3"/>
  <c r="E27" i="3"/>
  <c r="F27" i="3"/>
  <c r="G27" i="3"/>
  <c r="H27" i="3"/>
  <c r="I27" i="3"/>
  <c r="J27" i="3"/>
  <c r="B27" i="3"/>
  <c r="I116" i="3" l="1"/>
  <c r="I170" i="3"/>
  <c r="T55" i="3"/>
  <c r="I37" i="3"/>
  <c r="I26" i="3" s="1"/>
  <c r="H26" i="3"/>
  <c r="H86" i="3"/>
  <c r="Y64" i="4"/>
  <c r="AF64" i="4"/>
  <c r="AD46" i="5"/>
  <c r="Y71" i="7"/>
  <c r="Y70" i="7"/>
  <c r="Y69" i="7"/>
  <c r="E57" i="7"/>
  <c r="E37" i="7"/>
  <c r="Y68" i="7"/>
  <c r="Y65" i="7"/>
  <c r="Y64" i="7"/>
  <c r="E17" i="7"/>
  <c r="P78" i="7"/>
  <c r="I57" i="7"/>
  <c r="I17" i="7"/>
  <c r="G57" i="7"/>
  <c r="G17" i="7"/>
  <c r="Y67" i="7"/>
  <c r="Y66" i="7"/>
  <c r="Z78" i="7"/>
  <c r="B14" i="7"/>
  <c r="B34" i="7"/>
  <c r="B54" i="7"/>
  <c r="B13" i="7"/>
  <c r="B33" i="7"/>
  <c r="B53" i="7"/>
  <c r="B12" i="7"/>
  <c r="B32" i="7"/>
  <c r="B52" i="7"/>
  <c r="B11" i="7"/>
  <c r="B31" i="7"/>
  <c r="B51" i="7"/>
  <c r="B10" i="7"/>
  <c r="B30" i="7"/>
  <c r="B50" i="7"/>
  <c r="B9" i="7"/>
  <c r="B29" i="7"/>
  <c r="B49" i="7"/>
  <c r="B8" i="7"/>
  <c r="B28" i="7"/>
  <c r="B48" i="7"/>
  <c r="B7" i="7"/>
  <c r="B27" i="7"/>
  <c r="B47" i="7"/>
  <c r="B6" i="7"/>
  <c r="B26" i="7"/>
  <c r="B46" i="7"/>
  <c r="C45" i="7"/>
  <c r="C67" i="7"/>
  <c r="C25" i="7"/>
  <c r="B5" i="7"/>
  <c r="B45" i="7"/>
  <c r="B25" i="7"/>
  <c r="B24" i="7"/>
  <c r="B44" i="7"/>
  <c r="N44" i="7" s="1"/>
  <c r="B4" i="7"/>
  <c r="B3" i="7"/>
  <c r="B23" i="7"/>
  <c r="B43" i="7"/>
  <c r="B78" i="7"/>
  <c r="Z45" i="7"/>
  <c r="S46" i="7"/>
  <c r="T45" i="7"/>
  <c r="Z44" i="7"/>
  <c r="Y74" i="7"/>
  <c r="Y73" i="7"/>
  <c r="Y72" i="7"/>
  <c r="S26" i="7"/>
  <c r="Z25" i="7"/>
  <c r="Z24" i="7"/>
  <c r="H24" i="7"/>
  <c r="L24" i="7" s="1"/>
  <c r="F65" i="7"/>
  <c r="Y77" i="7"/>
  <c r="Y76" i="7"/>
  <c r="Y75" i="7"/>
  <c r="T5" i="7"/>
  <c r="Z5" i="7"/>
  <c r="S6" i="7"/>
  <c r="Z4" i="7"/>
  <c r="H65" i="7"/>
  <c r="L4" i="7"/>
  <c r="L65" i="7" s="1"/>
  <c r="S151" i="3"/>
  <c r="R151" i="3"/>
  <c r="B44" i="4"/>
  <c r="B24" i="4"/>
  <c r="N24" i="4" s="1"/>
  <c r="B4" i="4"/>
  <c r="B45" i="4"/>
  <c r="D45" i="4" s="1"/>
  <c r="F45" i="4" s="1"/>
  <c r="H45" i="4" s="1"/>
  <c r="L45" i="4" s="1"/>
  <c r="N45" i="4" s="1"/>
  <c r="B25" i="4"/>
  <c r="D25" i="4" s="1"/>
  <c r="F25" i="4" s="1"/>
  <c r="H25" i="4" s="1"/>
  <c r="L25" i="4" s="1"/>
  <c r="N25" i="4" s="1"/>
  <c r="B5" i="4"/>
  <c r="B6" i="4"/>
  <c r="B26" i="4"/>
  <c r="B46" i="4"/>
  <c r="B7" i="4"/>
  <c r="B27" i="4"/>
  <c r="B47" i="4"/>
  <c r="B48" i="4"/>
  <c r="B28" i="4"/>
  <c r="B8" i="4"/>
  <c r="B49" i="4"/>
  <c r="B29" i="4"/>
  <c r="B9" i="4"/>
  <c r="B50" i="4"/>
  <c r="B30" i="4"/>
  <c r="B10" i="4"/>
  <c r="B11" i="4"/>
  <c r="B31" i="4"/>
  <c r="B51" i="4"/>
  <c r="B52" i="4"/>
  <c r="B32" i="4"/>
  <c r="B12" i="4"/>
  <c r="B53" i="4"/>
  <c r="B33" i="4"/>
  <c r="B13" i="4"/>
  <c r="B54" i="4"/>
  <c r="B34" i="4"/>
  <c r="B14" i="4"/>
  <c r="B3" i="4"/>
  <c r="B23" i="4"/>
  <c r="B43" i="4"/>
  <c r="E76" i="3"/>
  <c r="G76" i="3"/>
  <c r="B78" i="4"/>
  <c r="E37" i="4"/>
  <c r="E17" i="4"/>
  <c r="E57" i="4"/>
  <c r="B48" i="5"/>
  <c r="B8" i="5"/>
  <c r="B28" i="5"/>
  <c r="B7" i="5"/>
  <c r="B27" i="5"/>
  <c r="B47" i="5"/>
  <c r="B6" i="5"/>
  <c r="B26" i="5"/>
  <c r="I57" i="4"/>
  <c r="I17" i="4"/>
  <c r="I37" i="4"/>
  <c r="L74" i="5"/>
  <c r="N36" i="5"/>
  <c r="M36" i="5" s="1"/>
  <c r="B76" i="3"/>
  <c r="F76" i="3"/>
  <c r="K27" i="3"/>
  <c r="C36" i="6"/>
  <c r="B53" i="6" s="1"/>
  <c r="C39" i="6"/>
  <c r="B56" i="6" s="1"/>
  <c r="C31" i="6"/>
  <c r="B48" i="6" s="1"/>
  <c r="C33" i="6"/>
  <c r="B50" i="6" s="1"/>
  <c r="C35" i="6"/>
  <c r="B52" i="6" s="1"/>
  <c r="C37" i="6"/>
  <c r="B54" i="6" s="1"/>
  <c r="C30" i="6"/>
  <c r="C38" i="6"/>
  <c r="B55" i="6" s="1"/>
  <c r="C40" i="6"/>
  <c r="B57" i="6" s="1"/>
  <c r="C32" i="6"/>
  <c r="B49" i="6" s="1"/>
  <c r="C34" i="6"/>
  <c r="B51" i="6" s="1"/>
  <c r="C41" i="6"/>
  <c r="B58" i="6" s="1"/>
  <c r="M46" i="5"/>
  <c r="U45" i="5"/>
  <c r="H45" i="5"/>
  <c r="N45" i="5"/>
  <c r="U43" i="5"/>
  <c r="G42" i="5"/>
  <c r="H42" i="5"/>
  <c r="U25" i="5"/>
  <c r="M26" i="5"/>
  <c r="D24" i="5"/>
  <c r="F24" i="5" s="1"/>
  <c r="H24" i="5" s="1"/>
  <c r="U23" i="5"/>
  <c r="F22" i="5"/>
  <c r="M7" i="5"/>
  <c r="U6" i="5"/>
  <c r="M64" i="5"/>
  <c r="U5" i="5"/>
  <c r="M63" i="5"/>
  <c r="C63" i="5"/>
  <c r="D5" i="5"/>
  <c r="Y62" i="5"/>
  <c r="U4" i="5"/>
  <c r="R62" i="5"/>
  <c r="N5" i="5"/>
  <c r="D4" i="5"/>
  <c r="U3" i="5"/>
  <c r="AD5" i="5"/>
  <c r="AB62" i="5"/>
  <c r="F2" i="5"/>
  <c r="C45" i="4"/>
  <c r="C67" i="4"/>
  <c r="C5" i="4"/>
  <c r="C25" i="4"/>
  <c r="T45" i="4"/>
  <c r="Z45" i="4"/>
  <c r="S46" i="4"/>
  <c r="Z44" i="4"/>
  <c r="Y74" i="4"/>
  <c r="Y73" i="4"/>
  <c r="Z25" i="4"/>
  <c r="T25" i="4"/>
  <c r="S26" i="4"/>
  <c r="Z24" i="4"/>
  <c r="Y77" i="4"/>
  <c r="Y76" i="4"/>
  <c r="Y75" i="4"/>
  <c r="S6" i="4"/>
  <c r="T5" i="4"/>
  <c r="Z5" i="4"/>
  <c r="Z4" i="4"/>
  <c r="H4" i="4"/>
  <c r="F65" i="4"/>
  <c r="C76" i="3"/>
  <c r="B86" i="3"/>
  <c r="D76" i="3"/>
  <c r="J77" i="3"/>
  <c r="J76" i="3" s="1"/>
  <c r="D4" i="2" s="1"/>
  <c r="L48" i="3"/>
  <c r="K37" i="3"/>
  <c r="M38" i="3"/>
  <c r="N38" i="3" s="1"/>
  <c r="M28" i="3"/>
  <c r="O85" i="3"/>
  <c r="N84" i="3"/>
  <c r="T20" i="3"/>
  <c r="I77" i="3"/>
  <c r="I76" i="3" s="1"/>
  <c r="C4" i="2" s="1"/>
  <c r="L27" i="3"/>
  <c r="T81" i="3"/>
  <c r="D3" i="3"/>
  <c r="F86" i="3"/>
  <c r="E3" i="3"/>
  <c r="G86" i="3"/>
  <c r="F3" i="3"/>
  <c r="G3" i="3"/>
  <c r="I86" i="3"/>
  <c r="C7" i="2" s="1"/>
  <c r="J143" i="3"/>
  <c r="J142" i="3" s="1"/>
  <c r="J86" i="3" s="1"/>
  <c r="D7" i="2" s="1"/>
  <c r="B4" i="3"/>
  <c r="B165" i="3" s="1"/>
  <c r="B166" i="3" s="1"/>
  <c r="C86" i="3"/>
  <c r="D86" i="3"/>
  <c r="T152" i="3"/>
  <c r="Q151" i="3"/>
  <c r="E86" i="3"/>
  <c r="T83" i="3"/>
  <c r="H77" i="3"/>
  <c r="H76" i="3" s="1"/>
  <c r="T99" i="3"/>
  <c r="T87" i="3"/>
  <c r="T158" i="3"/>
  <c r="T95" i="3"/>
  <c r="T116" i="3"/>
  <c r="T68" i="3"/>
  <c r="T34" i="3"/>
  <c r="C4" i="3"/>
  <c r="C165" i="3" s="1"/>
  <c r="B3" i="3"/>
  <c r="D4" i="3"/>
  <c r="D165" i="3" s="1"/>
  <c r="C3" i="3"/>
  <c r="B26" i="3"/>
  <c r="E4" i="3"/>
  <c r="F4" i="3"/>
  <c r="G4" i="3"/>
  <c r="H4" i="3"/>
  <c r="I4" i="3"/>
  <c r="D26" i="3"/>
  <c r="C26" i="3"/>
  <c r="J26" i="3"/>
  <c r="E26" i="3"/>
  <c r="F26" i="3"/>
  <c r="G26" i="3"/>
  <c r="H25" i="3" l="1"/>
  <c r="AD47" i="5"/>
  <c r="AD48" i="5" s="1"/>
  <c r="P85" i="3"/>
  <c r="O84" i="3"/>
  <c r="N46" i="5"/>
  <c r="N47" i="5" s="1"/>
  <c r="N48" i="5" s="1"/>
  <c r="N49" i="5" s="1"/>
  <c r="N50" i="5" s="1"/>
  <c r="N51" i="5" s="1"/>
  <c r="N52" i="5" s="1"/>
  <c r="N53" i="5" s="1"/>
  <c r="N54" i="5" s="1"/>
  <c r="N55" i="5" s="1"/>
  <c r="N56" i="5"/>
  <c r="M56" i="5" s="1"/>
  <c r="T151" i="3"/>
  <c r="B57" i="4"/>
  <c r="N44" i="4"/>
  <c r="D6" i="7"/>
  <c r="C26" i="7"/>
  <c r="D26" i="7" s="1"/>
  <c r="F26" i="7" s="1"/>
  <c r="H26" i="7" s="1"/>
  <c r="L26" i="7" s="1"/>
  <c r="N26" i="7" s="1"/>
  <c r="C46" i="7"/>
  <c r="D46" i="7" s="1"/>
  <c r="F46" i="7" s="1"/>
  <c r="H46" i="7" s="1"/>
  <c r="L46" i="7" s="1"/>
  <c r="N46" i="7" s="1"/>
  <c r="C68" i="7"/>
  <c r="D5" i="7"/>
  <c r="D45" i="7"/>
  <c r="F45" i="7" s="1"/>
  <c r="H45" i="7" s="1"/>
  <c r="L45" i="7" s="1"/>
  <c r="N45" i="7" s="1"/>
  <c r="D25" i="7"/>
  <c r="F25" i="7" s="1"/>
  <c r="H25" i="7" s="1"/>
  <c r="L25" i="7" s="1"/>
  <c r="N25" i="7" s="1"/>
  <c r="D3" i="7"/>
  <c r="AF3" i="7"/>
  <c r="B17" i="7"/>
  <c r="D23" i="7"/>
  <c r="AF23" i="7"/>
  <c r="AF24" i="7" s="1"/>
  <c r="AF25" i="7" s="1"/>
  <c r="AF26" i="7" s="1"/>
  <c r="AF27" i="7" s="1"/>
  <c r="AF28" i="7" s="1"/>
  <c r="AF29" i="7" s="1"/>
  <c r="AF30" i="7" s="1"/>
  <c r="AF31" i="7" s="1"/>
  <c r="AF32" i="7" s="1"/>
  <c r="AF33" i="7" s="1"/>
  <c r="AF34" i="7" s="1"/>
  <c r="AF35" i="7" s="1"/>
  <c r="AF36" i="7" s="1"/>
  <c r="B37" i="7"/>
  <c r="D43" i="7"/>
  <c r="AF43" i="7"/>
  <c r="AF44" i="7" s="1"/>
  <c r="AF45" i="7" s="1"/>
  <c r="AF46" i="7" s="1"/>
  <c r="AF47" i="7" s="1"/>
  <c r="AF48" i="7" s="1"/>
  <c r="AF49" i="7" s="1"/>
  <c r="AF50" i="7" s="1"/>
  <c r="AF51" i="7" s="1"/>
  <c r="AF52" i="7" s="1"/>
  <c r="AF53" i="7" s="1"/>
  <c r="AF54" i="7" s="1"/>
  <c r="AF55" i="7" s="1"/>
  <c r="AF56" i="7" s="1"/>
  <c r="B57" i="7"/>
  <c r="T46" i="7"/>
  <c r="Z46" i="7"/>
  <c r="S47" i="7"/>
  <c r="Z26" i="7"/>
  <c r="S27" i="7"/>
  <c r="T26" i="7"/>
  <c r="T6" i="7"/>
  <c r="Z6" i="7"/>
  <c r="S7" i="7"/>
  <c r="T67" i="7"/>
  <c r="N24" i="7"/>
  <c r="N4" i="7"/>
  <c r="O65" i="7" s="1"/>
  <c r="AF43" i="4"/>
  <c r="AF44" i="4" s="1"/>
  <c r="AF45" i="4" s="1"/>
  <c r="AF46" i="4" s="1"/>
  <c r="AF47" i="4" s="1"/>
  <c r="AF48" i="4" s="1"/>
  <c r="AF49" i="4" s="1"/>
  <c r="AF50" i="4" s="1"/>
  <c r="AF51" i="4" s="1"/>
  <c r="AF52" i="4" s="1"/>
  <c r="AF53" i="4" s="1"/>
  <c r="AF54" i="4" s="1"/>
  <c r="AF55" i="4" s="1"/>
  <c r="AF56" i="4" s="1"/>
  <c r="D43" i="4"/>
  <c r="F43" i="4" s="1"/>
  <c r="H43" i="4" s="1"/>
  <c r="L43" i="4" s="1"/>
  <c r="B37" i="4"/>
  <c r="D23" i="4"/>
  <c r="F23" i="4" s="1"/>
  <c r="H23" i="4" s="1"/>
  <c r="L23" i="4" s="1"/>
  <c r="AF23" i="4"/>
  <c r="AF24" i="4" s="1"/>
  <c r="AF25" i="4" s="1"/>
  <c r="AF26" i="4" s="1"/>
  <c r="AF27" i="4" s="1"/>
  <c r="AF28" i="4" s="1"/>
  <c r="AF29" i="4" s="1"/>
  <c r="AF30" i="4" s="1"/>
  <c r="AF31" i="4" s="1"/>
  <c r="AF32" i="4" s="1"/>
  <c r="AF33" i="4" s="1"/>
  <c r="AF34" i="4" s="1"/>
  <c r="AF35" i="4" s="1"/>
  <c r="AF36" i="4" s="1"/>
  <c r="B17" i="4"/>
  <c r="D3" i="4"/>
  <c r="F3" i="4" s="1"/>
  <c r="AF3" i="4"/>
  <c r="AD26" i="5"/>
  <c r="AD27" i="5" s="1"/>
  <c r="AD28" i="5" s="1"/>
  <c r="D26" i="5"/>
  <c r="F26" i="5" s="1"/>
  <c r="H26" i="5" s="1"/>
  <c r="K26" i="3"/>
  <c r="E6" i="2" s="1"/>
  <c r="M27" i="3"/>
  <c r="B25" i="3"/>
  <c r="B144" i="3" s="1"/>
  <c r="B164" i="3" s="1"/>
  <c r="B167" i="3" s="1"/>
  <c r="M48" i="3"/>
  <c r="L37" i="3"/>
  <c r="L26" i="3" s="1"/>
  <c r="F6" i="2" s="1"/>
  <c r="F25" i="3"/>
  <c r="F144" i="3" s="1"/>
  <c r="F164" i="3" s="1"/>
  <c r="G25" i="3"/>
  <c r="G144" i="3" s="1"/>
  <c r="G164" i="3" s="1"/>
  <c r="C42" i="6"/>
  <c r="B47" i="6"/>
  <c r="C47" i="6" s="1"/>
  <c r="B29" i="5"/>
  <c r="B49" i="5"/>
  <c r="B9" i="5"/>
  <c r="U46" i="5"/>
  <c r="M47" i="5"/>
  <c r="J42" i="5"/>
  <c r="K42" i="5"/>
  <c r="G43" i="5"/>
  <c r="U26" i="5"/>
  <c r="M27" i="5"/>
  <c r="G22" i="5"/>
  <c r="H22" i="5"/>
  <c r="M8" i="5"/>
  <c r="M65" i="5"/>
  <c r="U7" i="5"/>
  <c r="D6" i="5"/>
  <c r="F5" i="5"/>
  <c r="D63" i="5"/>
  <c r="N6" i="5"/>
  <c r="F4" i="5"/>
  <c r="D62" i="5"/>
  <c r="AD6" i="5"/>
  <c r="AB63" i="5"/>
  <c r="G2" i="5"/>
  <c r="H2" i="5"/>
  <c r="D46" i="5"/>
  <c r="D27" i="5"/>
  <c r="C68" i="4"/>
  <c r="C6" i="4"/>
  <c r="D6" i="4" s="1"/>
  <c r="F6" i="4" s="1"/>
  <c r="C26" i="4"/>
  <c r="C46" i="4"/>
  <c r="D5" i="4"/>
  <c r="T46" i="4"/>
  <c r="Z46" i="4"/>
  <c r="S47" i="4"/>
  <c r="T26" i="4"/>
  <c r="Z26" i="4"/>
  <c r="S27" i="4"/>
  <c r="T6" i="4"/>
  <c r="Z6" i="4"/>
  <c r="S7" i="4"/>
  <c r="T67" i="4"/>
  <c r="L4" i="4"/>
  <c r="H65" i="4"/>
  <c r="N28" i="3"/>
  <c r="O38" i="3"/>
  <c r="C166" i="3"/>
  <c r="D166" i="3" s="1"/>
  <c r="D25" i="3"/>
  <c r="D144" i="3" s="1"/>
  <c r="D164" i="3" s="1"/>
  <c r="C25" i="3"/>
  <c r="C144" i="3" s="1"/>
  <c r="C164" i="3" s="1"/>
  <c r="E25" i="3"/>
  <c r="E144" i="3" s="1"/>
  <c r="E164" i="3" s="1"/>
  <c r="C3" i="2"/>
  <c r="C5" i="2" s="1"/>
  <c r="C12" i="2" s="1"/>
  <c r="B3" i="2"/>
  <c r="J25" i="3"/>
  <c r="D6" i="2"/>
  <c r="B6" i="2"/>
  <c r="C6" i="2"/>
  <c r="I25" i="3"/>
  <c r="E165" i="3"/>
  <c r="F165" i="3"/>
  <c r="G165" i="3"/>
  <c r="H165" i="3"/>
  <c r="I165" i="3"/>
  <c r="P84" i="3" l="1"/>
  <c r="Q85" i="3"/>
  <c r="F6" i="7"/>
  <c r="D67" i="7"/>
  <c r="C69" i="7"/>
  <c r="C7" i="7"/>
  <c r="C27" i="7"/>
  <c r="C47" i="7"/>
  <c r="D66" i="7"/>
  <c r="F5" i="7"/>
  <c r="F3" i="7"/>
  <c r="AI64" i="7"/>
  <c r="AF4" i="7"/>
  <c r="F23" i="7"/>
  <c r="H23" i="7" s="1"/>
  <c r="L23" i="7" s="1"/>
  <c r="F43" i="7"/>
  <c r="H43" i="7" s="1"/>
  <c r="L43" i="7" s="1"/>
  <c r="T47" i="7"/>
  <c r="Z47" i="7"/>
  <c r="S48" i="7"/>
  <c r="T27" i="7"/>
  <c r="Z27" i="7"/>
  <c r="S28" i="7"/>
  <c r="T7" i="7"/>
  <c r="Z7" i="7"/>
  <c r="T68" i="7"/>
  <c r="S8" i="7"/>
  <c r="F64" i="4"/>
  <c r="N43" i="4"/>
  <c r="N57" i="4" s="1"/>
  <c r="M43" i="4"/>
  <c r="P44" i="4" s="1"/>
  <c r="AH64" i="4"/>
  <c r="AF4" i="4"/>
  <c r="N48" i="3"/>
  <c r="M37" i="3"/>
  <c r="M26" i="3" s="1"/>
  <c r="G6" i="2" s="1"/>
  <c r="B168" i="3"/>
  <c r="C163" i="3"/>
  <c r="C167" i="3" s="1"/>
  <c r="D47" i="6"/>
  <c r="C48" i="6"/>
  <c r="B30" i="5"/>
  <c r="B10" i="5"/>
  <c r="B50" i="5"/>
  <c r="AD29" i="5"/>
  <c r="AD49" i="5"/>
  <c r="AD50" i="5" s="1"/>
  <c r="M48" i="5"/>
  <c r="U47" i="5"/>
  <c r="V42" i="5"/>
  <c r="AA42" i="5" s="1"/>
  <c r="O42" i="5"/>
  <c r="R42" i="5" s="1"/>
  <c r="U42" i="5"/>
  <c r="P43" i="5"/>
  <c r="Y43" i="5"/>
  <c r="J43" i="5"/>
  <c r="K43" i="5"/>
  <c r="M28" i="5"/>
  <c r="U27" i="5"/>
  <c r="J22" i="5"/>
  <c r="K22" i="5"/>
  <c r="G23" i="5"/>
  <c r="M9" i="5"/>
  <c r="M66" i="5"/>
  <c r="U8" i="5"/>
  <c r="D7" i="5"/>
  <c r="C65" i="5"/>
  <c r="F6" i="5"/>
  <c r="D64" i="5"/>
  <c r="H5" i="5"/>
  <c r="H63" i="5" s="1"/>
  <c r="F63" i="5"/>
  <c r="N7" i="5"/>
  <c r="H4" i="5"/>
  <c r="AB64" i="5"/>
  <c r="AD7" i="5"/>
  <c r="J2" i="5"/>
  <c r="K2" i="5"/>
  <c r="G3" i="5"/>
  <c r="D47" i="5"/>
  <c r="F47" i="5" s="1"/>
  <c r="H47" i="5" s="1"/>
  <c r="F46" i="5"/>
  <c r="D28" i="5"/>
  <c r="F27" i="5"/>
  <c r="C69" i="4"/>
  <c r="C7" i="4"/>
  <c r="C27" i="4"/>
  <c r="D27" i="4" s="1"/>
  <c r="F27" i="4" s="1"/>
  <c r="H27" i="4" s="1"/>
  <c r="L27" i="4" s="1"/>
  <c r="N27" i="4" s="1"/>
  <c r="C47" i="4"/>
  <c r="D47" i="4" s="1"/>
  <c r="F47" i="4" s="1"/>
  <c r="H47" i="4" s="1"/>
  <c r="L47" i="4" s="1"/>
  <c r="N47" i="4" s="1"/>
  <c r="D26" i="4"/>
  <c r="D46" i="4"/>
  <c r="D66" i="4"/>
  <c r="F5" i="4"/>
  <c r="T47" i="4"/>
  <c r="Z47" i="4"/>
  <c r="S48" i="4"/>
  <c r="T27" i="4"/>
  <c r="Z27" i="4"/>
  <c r="S28" i="4"/>
  <c r="N23" i="4"/>
  <c r="N37" i="4" s="1"/>
  <c r="M23" i="4"/>
  <c r="H6" i="4"/>
  <c r="T7" i="4"/>
  <c r="Z7" i="4"/>
  <c r="S8" i="4"/>
  <c r="T68" i="4"/>
  <c r="N4" i="4"/>
  <c r="O65" i="4" s="1"/>
  <c r="L65" i="4"/>
  <c r="M65" i="4" s="1"/>
  <c r="H3" i="4"/>
  <c r="H64" i="4" s="1"/>
  <c r="O28" i="3"/>
  <c r="N27" i="3"/>
  <c r="P38" i="3"/>
  <c r="B4" i="2"/>
  <c r="B5" i="2" s="1"/>
  <c r="B12" i="2" s="1"/>
  <c r="C8" i="2"/>
  <c r="E166" i="3"/>
  <c r="F166" i="3" s="1"/>
  <c r="C15" i="2"/>
  <c r="I144" i="3"/>
  <c r="I164" i="3" s="1"/>
  <c r="R85" i="3" l="1"/>
  <c r="Q84" i="3"/>
  <c r="AD30" i="5"/>
  <c r="H6" i="7"/>
  <c r="F67" i="7"/>
  <c r="C70" i="7"/>
  <c r="C8" i="7"/>
  <c r="D8" i="7" s="1"/>
  <c r="C28" i="7"/>
  <c r="D28" i="7" s="1"/>
  <c r="F28" i="7" s="1"/>
  <c r="H28" i="7" s="1"/>
  <c r="L28" i="7" s="1"/>
  <c r="N28" i="7" s="1"/>
  <c r="C48" i="7"/>
  <c r="D48" i="7" s="1"/>
  <c r="F48" i="7" s="1"/>
  <c r="H48" i="7" s="1"/>
  <c r="L48" i="7" s="1"/>
  <c r="N48" i="7" s="1"/>
  <c r="D7" i="7"/>
  <c r="D27" i="7"/>
  <c r="D47" i="7"/>
  <c r="H5" i="7"/>
  <c r="F66" i="7"/>
  <c r="F64" i="7"/>
  <c r="H3" i="7"/>
  <c r="AF5" i="7"/>
  <c r="AI65" i="7"/>
  <c r="N23" i="7"/>
  <c r="N37" i="7" s="1"/>
  <c r="M23" i="7"/>
  <c r="N43" i="7"/>
  <c r="N57" i="7" s="1"/>
  <c r="M43" i="7"/>
  <c r="T48" i="7"/>
  <c r="Z48" i="7"/>
  <c r="S49" i="7"/>
  <c r="T28" i="7"/>
  <c r="Z28" i="7"/>
  <c r="S29" i="7"/>
  <c r="T8" i="7"/>
  <c r="Z8" i="7"/>
  <c r="S9" i="7"/>
  <c r="T69" i="7"/>
  <c r="AF5" i="4"/>
  <c r="AH65" i="4"/>
  <c r="P43" i="4"/>
  <c r="Q43" i="4" s="1"/>
  <c r="M44" i="4"/>
  <c r="O48" i="3"/>
  <c r="N37" i="3"/>
  <c r="N26" i="3" s="1"/>
  <c r="H6" i="2" s="1"/>
  <c r="D29" i="5"/>
  <c r="F29" i="5" s="1"/>
  <c r="H29" i="5" s="1"/>
  <c r="C36" i="5"/>
  <c r="C168" i="3"/>
  <c r="D163" i="3"/>
  <c r="D167" i="3" s="1"/>
  <c r="P28" i="3"/>
  <c r="O27" i="3"/>
  <c r="C49" i="6"/>
  <c r="D48" i="6"/>
  <c r="F47" i="6"/>
  <c r="E47" i="6"/>
  <c r="G47" i="6"/>
  <c r="B11" i="5"/>
  <c r="B31" i="5"/>
  <c r="B51" i="5"/>
  <c r="M49" i="5"/>
  <c r="U48" i="5"/>
  <c r="Q43" i="5"/>
  <c r="Z43" i="5"/>
  <c r="AB43" i="5"/>
  <c r="V43" i="5"/>
  <c r="AA43" i="5" s="1"/>
  <c r="O43" i="5"/>
  <c r="R43" i="5" s="1"/>
  <c r="P44" i="5"/>
  <c r="Y44" i="5"/>
  <c r="M29" i="5"/>
  <c r="U28" i="5"/>
  <c r="V22" i="5"/>
  <c r="AA22" i="5" s="1"/>
  <c r="O22" i="5"/>
  <c r="R22" i="5" s="1"/>
  <c r="U22" i="5"/>
  <c r="P23" i="5"/>
  <c r="Y23" i="5"/>
  <c r="J23" i="5"/>
  <c r="K23" i="5"/>
  <c r="G24" i="5"/>
  <c r="U9" i="5"/>
  <c r="M10" i="5"/>
  <c r="M67" i="5"/>
  <c r="D65" i="5"/>
  <c r="F7" i="5"/>
  <c r="D8" i="5"/>
  <c r="C66" i="5"/>
  <c r="H6" i="5"/>
  <c r="F64" i="5"/>
  <c r="N8" i="5"/>
  <c r="AD8" i="5"/>
  <c r="AB65" i="5"/>
  <c r="V2" i="5"/>
  <c r="AA2" i="5" s="1"/>
  <c r="O2" i="5"/>
  <c r="R2" i="5" s="1"/>
  <c r="U2" i="5"/>
  <c r="P3" i="5"/>
  <c r="Y3" i="5"/>
  <c r="J3" i="5"/>
  <c r="K3" i="5"/>
  <c r="G4" i="5"/>
  <c r="D48" i="5"/>
  <c r="H46" i="5"/>
  <c r="H27" i="5"/>
  <c r="F28" i="5"/>
  <c r="H28" i="5" s="1"/>
  <c r="C8" i="4"/>
  <c r="D8" i="4" s="1"/>
  <c r="C28" i="4"/>
  <c r="C48" i="4"/>
  <c r="C70" i="4"/>
  <c r="D7" i="4"/>
  <c r="D67" i="4"/>
  <c r="F26" i="4"/>
  <c r="F46" i="4"/>
  <c r="H46" i="4" s="1"/>
  <c r="L46" i="4" s="1"/>
  <c r="H5" i="4"/>
  <c r="F66" i="4"/>
  <c r="T48" i="4"/>
  <c r="Z48" i="4"/>
  <c r="S49" i="4"/>
  <c r="T28" i="4"/>
  <c r="Z28" i="4"/>
  <c r="S29" i="4"/>
  <c r="P23" i="4"/>
  <c r="Q23" i="4" s="1"/>
  <c r="M24" i="4"/>
  <c r="P24" i="4"/>
  <c r="L6" i="4"/>
  <c r="T8" i="4"/>
  <c r="Z8" i="4"/>
  <c r="S9" i="4"/>
  <c r="T69" i="4"/>
  <c r="L3" i="4"/>
  <c r="L64" i="4" s="1"/>
  <c r="M64" i="4" s="1"/>
  <c r="Q38" i="3"/>
  <c r="B7" i="2"/>
  <c r="B8" i="2" s="1"/>
  <c r="G166" i="3"/>
  <c r="H166" i="3" s="1"/>
  <c r="G167" i="3"/>
  <c r="C11" i="2"/>
  <c r="C14" i="2" s="1"/>
  <c r="C13" i="2"/>
  <c r="I166" i="3" l="1"/>
  <c r="I167" i="3"/>
  <c r="S85" i="3"/>
  <c r="R84" i="3"/>
  <c r="AF6" i="4"/>
  <c r="AH66" i="4"/>
  <c r="L6" i="7"/>
  <c r="H67" i="7"/>
  <c r="C71" i="7"/>
  <c r="C9" i="7"/>
  <c r="D9" i="7" s="1"/>
  <c r="C29" i="7"/>
  <c r="C49" i="7"/>
  <c r="D69" i="7"/>
  <c r="F8" i="7"/>
  <c r="D68" i="7"/>
  <c r="F7" i="7"/>
  <c r="F27" i="7"/>
  <c r="H27" i="7" s="1"/>
  <c r="L27" i="7" s="1"/>
  <c r="F47" i="7"/>
  <c r="H47" i="7" s="1"/>
  <c r="L47" i="7" s="1"/>
  <c r="L5" i="7"/>
  <c r="H66" i="7"/>
  <c r="L3" i="7"/>
  <c r="H64" i="7"/>
  <c r="AF6" i="7"/>
  <c r="AI66" i="7"/>
  <c r="P23" i="7"/>
  <c r="Q23" i="7" s="1"/>
  <c r="M24" i="7"/>
  <c r="P24" i="7"/>
  <c r="P43" i="7"/>
  <c r="Q43" i="7" s="1"/>
  <c r="M44" i="7"/>
  <c r="P44" i="7"/>
  <c r="T49" i="7"/>
  <c r="Z49" i="7"/>
  <c r="S50" i="7"/>
  <c r="T29" i="7"/>
  <c r="Z29" i="7"/>
  <c r="S30" i="7"/>
  <c r="T9" i="7"/>
  <c r="Z9" i="7"/>
  <c r="S10" i="7"/>
  <c r="T70" i="7"/>
  <c r="Q44" i="4"/>
  <c r="P45" i="4"/>
  <c r="M45" i="4"/>
  <c r="M46" i="4" s="1"/>
  <c r="AB44" i="4"/>
  <c r="AD44" i="4" s="1"/>
  <c r="V44" i="4"/>
  <c r="Z43" i="4"/>
  <c r="U43" i="4"/>
  <c r="AA43" i="4"/>
  <c r="D30" i="5"/>
  <c r="F30" i="5" s="1"/>
  <c r="H30" i="5" s="1"/>
  <c r="O37" i="3"/>
  <c r="O26" i="3" s="1"/>
  <c r="I6" i="2" s="1"/>
  <c r="P48" i="3"/>
  <c r="H64" i="5"/>
  <c r="D49" i="5"/>
  <c r="F49" i="5" s="1"/>
  <c r="H49" i="5" s="1"/>
  <c r="D168" i="3"/>
  <c r="E163" i="3"/>
  <c r="E167" i="3" s="1"/>
  <c r="Q28" i="3"/>
  <c r="P27" i="3"/>
  <c r="D49" i="6"/>
  <c r="C50" i="6"/>
  <c r="H47" i="6"/>
  <c r="F48" i="6"/>
  <c r="E48" i="6"/>
  <c r="G48" i="6"/>
  <c r="B32" i="5"/>
  <c r="B52" i="5"/>
  <c r="B12" i="5"/>
  <c r="AD31" i="5"/>
  <c r="AD32" i="5" s="1"/>
  <c r="D31" i="5"/>
  <c r="AD51" i="5"/>
  <c r="U49" i="5"/>
  <c r="M50" i="5"/>
  <c r="AC43" i="5"/>
  <c r="M30" i="5"/>
  <c r="U29" i="5"/>
  <c r="Q23" i="5"/>
  <c r="Z23" i="5"/>
  <c r="AB23" i="5"/>
  <c r="V23" i="5"/>
  <c r="AA23" i="5" s="1"/>
  <c r="O23" i="5"/>
  <c r="R23" i="5" s="1"/>
  <c r="P24" i="5"/>
  <c r="Y24" i="5"/>
  <c r="J24" i="5"/>
  <c r="K24" i="5" s="1"/>
  <c r="G25" i="5"/>
  <c r="U10" i="5"/>
  <c r="M11" i="5"/>
  <c r="M68" i="5"/>
  <c r="H7" i="5"/>
  <c r="H65" i="5" s="1"/>
  <c r="F65" i="5"/>
  <c r="F8" i="5"/>
  <c r="D66" i="5"/>
  <c r="D9" i="5"/>
  <c r="C67" i="5"/>
  <c r="N9" i="5"/>
  <c r="AD9" i="5"/>
  <c r="AB66" i="5"/>
  <c r="Q3" i="5"/>
  <c r="Z3" i="5"/>
  <c r="AB3" i="5"/>
  <c r="V3" i="5"/>
  <c r="AA3" i="5" s="1"/>
  <c r="O3" i="5"/>
  <c r="R3" i="5" s="1"/>
  <c r="P4" i="5"/>
  <c r="Y4" i="5"/>
  <c r="J4" i="5"/>
  <c r="K4" i="5"/>
  <c r="G5" i="5"/>
  <c r="F48" i="5"/>
  <c r="AB44" i="5"/>
  <c r="Q44" i="5"/>
  <c r="Z44" i="5"/>
  <c r="F8" i="4"/>
  <c r="D28" i="4"/>
  <c r="D48" i="4"/>
  <c r="C71" i="4"/>
  <c r="C9" i="4"/>
  <c r="C29" i="4"/>
  <c r="C49" i="4"/>
  <c r="D68" i="4"/>
  <c r="F7" i="4"/>
  <c r="F67" i="4"/>
  <c r="H26" i="4"/>
  <c r="N46" i="4"/>
  <c r="L5" i="4"/>
  <c r="H66" i="4"/>
  <c r="T49" i="4"/>
  <c r="Z49" i="4"/>
  <c r="S50" i="4"/>
  <c r="T29" i="4"/>
  <c r="Z29" i="4"/>
  <c r="S30" i="4"/>
  <c r="AA23" i="4"/>
  <c r="U23" i="4"/>
  <c r="Z23" i="4"/>
  <c r="V24" i="4"/>
  <c r="AB24" i="4"/>
  <c r="Q24" i="4"/>
  <c r="M25" i="4"/>
  <c r="P25" i="4"/>
  <c r="N6" i="4"/>
  <c r="T9" i="4"/>
  <c r="Z9" i="4"/>
  <c r="S10" i="4"/>
  <c r="T70" i="4"/>
  <c r="N3" i="4"/>
  <c r="O64" i="4" s="1"/>
  <c r="M3" i="4"/>
  <c r="N64" i="4" s="1"/>
  <c r="R38" i="3"/>
  <c r="H144" i="3"/>
  <c r="H164" i="3" s="1"/>
  <c r="B15" i="2"/>
  <c r="B11" i="2"/>
  <c r="B14" i="2" s="1"/>
  <c r="B13" i="2"/>
  <c r="T85" i="3" l="1"/>
  <c r="S84" i="3"/>
  <c r="T84" i="3" s="1"/>
  <c r="AD52" i="5"/>
  <c r="AH67" i="4"/>
  <c r="AF7" i="4"/>
  <c r="N6" i="7"/>
  <c r="O67" i="7" s="1"/>
  <c r="L67" i="7"/>
  <c r="M67" i="7" s="1"/>
  <c r="C72" i="7"/>
  <c r="C10" i="7"/>
  <c r="D10" i="7" s="1"/>
  <c r="C30" i="7"/>
  <c r="D30" i="7" s="1"/>
  <c r="F30" i="7" s="1"/>
  <c r="H30" i="7" s="1"/>
  <c r="L30" i="7" s="1"/>
  <c r="N30" i="7" s="1"/>
  <c r="C50" i="7"/>
  <c r="D50" i="7" s="1"/>
  <c r="F50" i="7" s="1"/>
  <c r="H50" i="7" s="1"/>
  <c r="L50" i="7" s="1"/>
  <c r="N50" i="7" s="1"/>
  <c r="F9" i="7"/>
  <c r="D29" i="7"/>
  <c r="D49" i="7"/>
  <c r="H8" i="7"/>
  <c r="F69" i="7"/>
  <c r="H7" i="7"/>
  <c r="F68" i="7"/>
  <c r="N27" i="7"/>
  <c r="N47" i="7"/>
  <c r="N5" i="7"/>
  <c r="O66" i="7" s="1"/>
  <c r="L66" i="7"/>
  <c r="M66" i="7" s="1"/>
  <c r="N3" i="7"/>
  <c r="L64" i="7"/>
  <c r="M3" i="7"/>
  <c r="AF7" i="7"/>
  <c r="AI67" i="7"/>
  <c r="AA23" i="7"/>
  <c r="U23" i="7"/>
  <c r="Z23" i="7"/>
  <c r="V24" i="7"/>
  <c r="W24" i="7" s="1"/>
  <c r="AB24" i="7"/>
  <c r="AC24" i="7" s="1"/>
  <c r="Q24" i="7"/>
  <c r="M25" i="7"/>
  <c r="P25" i="7"/>
  <c r="AA43" i="7"/>
  <c r="U43" i="7"/>
  <c r="Z43" i="7"/>
  <c r="V44" i="7"/>
  <c r="W44" i="7" s="1"/>
  <c r="AB44" i="7"/>
  <c r="AC44" i="7" s="1"/>
  <c r="Q44" i="7"/>
  <c r="AB45" i="7" s="1"/>
  <c r="M45" i="7"/>
  <c r="P45" i="7"/>
  <c r="T50" i="7"/>
  <c r="Z50" i="7"/>
  <c r="S51" i="7"/>
  <c r="T30" i="7"/>
  <c r="Z30" i="7"/>
  <c r="S31" i="7"/>
  <c r="T10" i="7"/>
  <c r="Z10" i="7"/>
  <c r="S11" i="7"/>
  <c r="T71" i="7"/>
  <c r="AA44" i="4"/>
  <c r="U44" i="4"/>
  <c r="W44" i="4"/>
  <c r="AC44" i="4"/>
  <c r="AE44" i="4" s="1"/>
  <c r="V45" i="4"/>
  <c r="AB45" i="4"/>
  <c r="AD45" i="4" s="1"/>
  <c r="Q45" i="4"/>
  <c r="P46" i="4"/>
  <c r="Q46" i="4" s="1"/>
  <c r="K82" i="3"/>
  <c r="K80" i="3"/>
  <c r="D69" i="4"/>
  <c r="Q48" i="3"/>
  <c r="P37" i="3"/>
  <c r="P26" i="3" s="1"/>
  <c r="J6" i="2" s="1"/>
  <c r="D50" i="5"/>
  <c r="F50" i="5" s="1"/>
  <c r="H50" i="5" s="1"/>
  <c r="F163" i="3"/>
  <c r="F167" i="3" s="1"/>
  <c r="F168" i="3" s="1"/>
  <c r="E168" i="3"/>
  <c r="Q27" i="3"/>
  <c r="R28" i="3"/>
  <c r="S28" i="3" s="1"/>
  <c r="D50" i="6"/>
  <c r="C51" i="6"/>
  <c r="J47" i="6"/>
  <c r="I47" i="6"/>
  <c r="L47" i="6" s="1"/>
  <c r="M47" i="6" s="1"/>
  <c r="H48" i="6"/>
  <c r="E49" i="6"/>
  <c r="G49" i="6"/>
  <c r="F49" i="6"/>
  <c r="D32" i="5"/>
  <c r="F32" i="5" s="1"/>
  <c r="H32" i="5" s="1"/>
  <c r="B13" i="5"/>
  <c r="B33" i="5"/>
  <c r="B53" i="5"/>
  <c r="F31" i="5"/>
  <c r="U50" i="5"/>
  <c r="M51" i="5"/>
  <c r="AE43" i="5"/>
  <c r="AF43" i="5" s="1"/>
  <c r="AC44" i="5"/>
  <c r="U30" i="5"/>
  <c r="M31" i="5"/>
  <c r="AC23" i="5"/>
  <c r="P25" i="5"/>
  <c r="Y25" i="5"/>
  <c r="J25" i="5"/>
  <c r="K25" i="5" s="1"/>
  <c r="G26" i="5"/>
  <c r="M69" i="5"/>
  <c r="U11" i="5"/>
  <c r="M12" i="5"/>
  <c r="H8" i="5"/>
  <c r="F66" i="5"/>
  <c r="D67" i="5"/>
  <c r="F9" i="5"/>
  <c r="D10" i="5"/>
  <c r="C68" i="5"/>
  <c r="N10" i="5"/>
  <c r="AB67" i="5"/>
  <c r="AD10" i="5"/>
  <c r="AC3" i="5"/>
  <c r="Q4" i="5"/>
  <c r="P62" i="5"/>
  <c r="Z4" i="5"/>
  <c r="W62" i="5"/>
  <c r="P5" i="5"/>
  <c r="Y5" i="5"/>
  <c r="J5" i="5"/>
  <c r="K5" i="5"/>
  <c r="G6" i="5"/>
  <c r="H48" i="5"/>
  <c r="AB24" i="5"/>
  <c r="AB4" i="5"/>
  <c r="Q24" i="5"/>
  <c r="Z24" i="5"/>
  <c r="H8" i="4"/>
  <c r="F28" i="4"/>
  <c r="F48" i="4"/>
  <c r="H48" i="4" s="1"/>
  <c r="L48" i="4" s="1"/>
  <c r="C10" i="4"/>
  <c r="D10" i="4" s="1"/>
  <c r="C72" i="4"/>
  <c r="C30" i="4"/>
  <c r="D30" i="4" s="1"/>
  <c r="C50" i="4"/>
  <c r="D50" i="4" s="1"/>
  <c r="D9" i="4"/>
  <c r="H7" i="4"/>
  <c r="F68" i="4"/>
  <c r="H67" i="4"/>
  <c r="L26" i="4"/>
  <c r="M26" i="4" s="1"/>
  <c r="N5" i="4"/>
  <c r="O66" i="4" s="1"/>
  <c r="L66" i="4"/>
  <c r="M66" i="4" s="1"/>
  <c r="T50" i="4"/>
  <c r="Z50" i="4"/>
  <c r="S51" i="4"/>
  <c r="M47" i="4"/>
  <c r="P47" i="4"/>
  <c r="S31" i="4"/>
  <c r="T30" i="4"/>
  <c r="Z30" i="4"/>
  <c r="AD24" i="4"/>
  <c r="AA24" i="4"/>
  <c r="U24" i="4"/>
  <c r="W24" i="4"/>
  <c r="AC24" i="4"/>
  <c r="V25" i="4"/>
  <c r="AB25" i="4"/>
  <c r="Q25" i="4"/>
  <c r="P26" i="4"/>
  <c r="T10" i="4"/>
  <c r="Z10" i="4"/>
  <c r="S11" i="4"/>
  <c r="T71" i="4"/>
  <c r="N17" i="4"/>
  <c r="P3" i="4"/>
  <c r="Q3" i="4" s="1"/>
  <c r="M4" i="4"/>
  <c r="P4" i="4"/>
  <c r="Q65" i="4" s="1"/>
  <c r="U64" i="4"/>
  <c r="D29" i="4"/>
  <c r="F29" i="4" s="1"/>
  <c r="H29" i="4" s="1"/>
  <c r="L29" i="4" s="1"/>
  <c r="N29" i="4" s="1"/>
  <c r="D49" i="4"/>
  <c r="F49" i="4" s="1"/>
  <c r="H49" i="4" s="1"/>
  <c r="L49" i="4" s="1"/>
  <c r="N49" i="4" s="1"/>
  <c r="S38" i="3"/>
  <c r="T29" i="3"/>
  <c r="AF8" i="4" l="1"/>
  <c r="AH68" i="4"/>
  <c r="D70" i="7"/>
  <c r="C11" i="7"/>
  <c r="D11" i="7" s="1"/>
  <c r="C31" i="7"/>
  <c r="D31" i="7" s="1"/>
  <c r="F31" i="7" s="1"/>
  <c r="H31" i="7" s="1"/>
  <c r="L31" i="7" s="1"/>
  <c r="N31" i="7" s="1"/>
  <c r="C51" i="7"/>
  <c r="D51" i="7" s="1"/>
  <c r="F51" i="7" s="1"/>
  <c r="H51" i="7" s="1"/>
  <c r="L51" i="7" s="1"/>
  <c r="N51" i="7" s="1"/>
  <c r="C73" i="7"/>
  <c r="D71" i="7"/>
  <c r="F10" i="7"/>
  <c r="H9" i="7"/>
  <c r="F29" i="7"/>
  <c r="F49" i="7"/>
  <c r="H49" i="7" s="1"/>
  <c r="L49" i="7" s="1"/>
  <c r="H69" i="7"/>
  <c r="L8" i="7"/>
  <c r="L7" i="7"/>
  <c r="H68" i="7"/>
  <c r="O64" i="7"/>
  <c r="N17" i="7"/>
  <c r="P3" i="7"/>
  <c r="Q3" i="7" s="1"/>
  <c r="U64" i="7"/>
  <c r="N64" i="7"/>
  <c r="M4" i="7"/>
  <c r="P4" i="7"/>
  <c r="Q65" i="7" s="1"/>
  <c r="AI68" i="7"/>
  <c r="AF8" i="7"/>
  <c r="AD24" i="7"/>
  <c r="AA24" i="7"/>
  <c r="U24" i="7"/>
  <c r="V25" i="7"/>
  <c r="W25" i="7" s="1"/>
  <c r="AB25" i="7"/>
  <c r="AC25" i="7" s="1"/>
  <c r="M26" i="7"/>
  <c r="P26" i="7"/>
  <c r="Q25" i="7"/>
  <c r="AD44" i="7"/>
  <c r="AA44" i="7"/>
  <c r="U44" i="7"/>
  <c r="V45" i="7"/>
  <c r="W45" i="7" s="1"/>
  <c r="AC45" i="7"/>
  <c r="Q45" i="7"/>
  <c r="M46" i="7"/>
  <c r="P46" i="7"/>
  <c r="T51" i="7"/>
  <c r="Z51" i="7"/>
  <c r="S52" i="7"/>
  <c r="T31" i="7"/>
  <c r="Z31" i="7"/>
  <c r="S32" i="7"/>
  <c r="T11" i="7"/>
  <c r="Z11" i="7"/>
  <c r="S12" i="7"/>
  <c r="T72" i="7"/>
  <c r="AA45" i="4"/>
  <c r="W45" i="4"/>
  <c r="AC45" i="4"/>
  <c r="AE45" i="4" s="1"/>
  <c r="V46" i="4"/>
  <c r="W46" i="4" s="1"/>
  <c r="U45" i="4"/>
  <c r="AB46" i="4"/>
  <c r="K77" i="3"/>
  <c r="L82" i="3"/>
  <c r="L80" i="3"/>
  <c r="D51" i="5"/>
  <c r="F51" i="5" s="1"/>
  <c r="H51" i="5" s="1"/>
  <c r="Q37" i="3"/>
  <c r="Q26" i="3" s="1"/>
  <c r="K6" i="2" s="1"/>
  <c r="R48" i="3"/>
  <c r="AD25" i="4"/>
  <c r="AB25" i="5"/>
  <c r="Q62" i="5"/>
  <c r="S27" i="3"/>
  <c r="R27" i="3"/>
  <c r="T28" i="3"/>
  <c r="C52" i="6"/>
  <c r="D51" i="6"/>
  <c r="J48" i="6"/>
  <c r="I48" i="6"/>
  <c r="H49" i="6"/>
  <c r="L14" i="3" s="1" a="1"/>
  <c r="L14" i="3" s="1"/>
  <c r="G50" i="6"/>
  <c r="F50" i="6"/>
  <c r="E50" i="6"/>
  <c r="B14" i="5"/>
  <c r="B34" i="5"/>
  <c r="B54" i="5"/>
  <c r="AD33" i="5"/>
  <c r="D33" i="5"/>
  <c r="F33" i="5" s="1"/>
  <c r="H33" i="5" s="1"/>
  <c r="AD53" i="5"/>
  <c r="H31" i="5"/>
  <c r="U51" i="5"/>
  <c r="M52" i="5"/>
  <c r="AE44" i="5"/>
  <c r="AF44" i="5" s="1"/>
  <c r="U31" i="5"/>
  <c r="M32" i="5"/>
  <c r="AE23" i="5"/>
  <c r="AF23" i="5" s="1"/>
  <c r="AC24" i="5"/>
  <c r="V25" i="5"/>
  <c r="AA25" i="5" s="1"/>
  <c r="P26" i="5"/>
  <c r="Q26" i="5" s="1"/>
  <c r="Y26" i="5"/>
  <c r="G27" i="5"/>
  <c r="J26" i="5"/>
  <c r="K26" i="5" s="1"/>
  <c r="U12" i="5"/>
  <c r="M13" i="5"/>
  <c r="H9" i="5"/>
  <c r="H67" i="5" s="1"/>
  <c r="F67" i="5"/>
  <c r="F10" i="5"/>
  <c r="D68" i="5"/>
  <c r="D11" i="5"/>
  <c r="C69" i="5"/>
  <c r="N11" i="5"/>
  <c r="AD11" i="5"/>
  <c r="AB68" i="5"/>
  <c r="AE3" i="5"/>
  <c r="AF3" i="5" s="1"/>
  <c r="AC4" i="5"/>
  <c r="Q5" i="5"/>
  <c r="Z5" i="5"/>
  <c r="V5" i="5"/>
  <c r="AA5" i="5" s="1"/>
  <c r="P6" i="5"/>
  <c r="Y6" i="5"/>
  <c r="J6" i="5"/>
  <c r="K6" i="5" s="1"/>
  <c r="G7" i="5"/>
  <c r="Z62" i="5"/>
  <c r="AB5" i="5"/>
  <c r="H66" i="5"/>
  <c r="Q25" i="5"/>
  <c r="Z25" i="5"/>
  <c r="X62" i="5"/>
  <c r="L8" i="4"/>
  <c r="N48" i="4"/>
  <c r="D71" i="4"/>
  <c r="F10" i="4"/>
  <c r="C31" i="4"/>
  <c r="D31" i="4" s="1"/>
  <c r="F31" i="4" s="1"/>
  <c r="H31" i="4" s="1"/>
  <c r="L31" i="4" s="1"/>
  <c r="N31" i="4" s="1"/>
  <c r="C51" i="4"/>
  <c r="D51" i="4" s="1"/>
  <c r="F51" i="4" s="1"/>
  <c r="H51" i="4" s="1"/>
  <c r="L51" i="4" s="1"/>
  <c r="C73" i="4"/>
  <c r="C11" i="4"/>
  <c r="D70" i="4"/>
  <c r="F9" i="4"/>
  <c r="L7" i="4"/>
  <c r="H68" i="4"/>
  <c r="L67" i="4"/>
  <c r="N26" i="4"/>
  <c r="O67" i="4" s="1"/>
  <c r="T51" i="4"/>
  <c r="Z51" i="4"/>
  <c r="S52" i="4"/>
  <c r="AG44" i="4"/>
  <c r="AH44" i="4" s="1"/>
  <c r="AA46" i="4"/>
  <c r="U46" i="4"/>
  <c r="V47" i="4"/>
  <c r="AB47" i="4"/>
  <c r="Q47" i="4"/>
  <c r="M48" i="4"/>
  <c r="P48" i="4"/>
  <c r="T31" i="4"/>
  <c r="S32" i="4"/>
  <c r="Z31" i="4"/>
  <c r="AE24" i="4"/>
  <c r="AA25" i="4"/>
  <c r="U25" i="4"/>
  <c r="W25" i="4"/>
  <c r="AC25" i="4"/>
  <c r="V26" i="4"/>
  <c r="AB26" i="4"/>
  <c r="Q26" i="4"/>
  <c r="M27" i="4"/>
  <c r="P27" i="4"/>
  <c r="T11" i="4"/>
  <c r="Z11" i="4"/>
  <c r="S12" i="4"/>
  <c r="T72" i="4"/>
  <c r="Q64" i="4"/>
  <c r="AA3" i="4"/>
  <c r="AB64" i="4" s="1"/>
  <c r="U3" i="4"/>
  <c r="V64" i="4" s="1"/>
  <c r="Z3" i="4"/>
  <c r="AA64" i="4" s="1"/>
  <c r="V4" i="4"/>
  <c r="AB4" i="4"/>
  <c r="R64" i="4"/>
  <c r="Q4" i="4"/>
  <c r="M5" i="4"/>
  <c r="N66" i="4" s="1"/>
  <c r="P5" i="4"/>
  <c r="N65" i="4"/>
  <c r="U65" i="4"/>
  <c r="AA65" i="4"/>
  <c r="H28" i="4"/>
  <c r="F69" i="4"/>
  <c r="F30" i="4"/>
  <c r="H30" i="4" s="1"/>
  <c r="L30" i="4" s="1"/>
  <c r="N30" i="4" s="1"/>
  <c r="F50" i="4"/>
  <c r="H50" i="4" s="1"/>
  <c r="L50" i="4" s="1"/>
  <c r="N50" i="4" s="1"/>
  <c r="T38" i="3"/>
  <c r="G168" i="3"/>
  <c r="H163" i="3"/>
  <c r="H167" i="3" s="1"/>
  <c r="AD34" i="5" l="1"/>
  <c r="AF9" i="4"/>
  <c r="AH69" i="4"/>
  <c r="AC46" i="4"/>
  <c r="AE46" i="4" s="1"/>
  <c r="AD46" i="4"/>
  <c r="AD47" i="4" s="1"/>
  <c r="AD45" i="7"/>
  <c r="D72" i="7"/>
  <c r="F11" i="7"/>
  <c r="C12" i="7"/>
  <c r="D12" i="7" s="1"/>
  <c r="C32" i="7"/>
  <c r="D32" i="7" s="1"/>
  <c r="C52" i="7"/>
  <c r="D52" i="7" s="1"/>
  <c r="C74" i="7"/>
  <c r="H10" i="7"/>
  <c r="F71" i="7"/>
  <c r="L9" i="7"/>
  <c r="N49" i="7"/>
  <c r="N8" i="7"/>
  <c r="O69" i="7" s="1"/>
  <c r="L69" i="7"/>
  <c r="M69" i="7" s="1"/>
  <c r="N7" i="7"/>
  <c r="O68" i="7" s="1"/>
  <c r="L68" i="7"/>
  <c r="Q64" i="7"/>
  <c r="AA3" i="7"/>
  <c r="AB64" i="7" s="1"/>
  <c r="U3" i="7"/>
  <c r="V64" i="7" s="1"/>
  <c r="Z3" i="7"/>
  <c r="AA64" i="7" s="1"/>
  <c r="V4" i="7"/>
  <c r="W4" i="7" s="1"/>
  <c r="AB4" i="7"/>
  <c r="AC4" i="7" s="1"/>
  <c r="R64" i="7"/>
  <c r="U65" i="7"/>
  <c r="Q4" i="7"/>
  <c r="M5" i="7"/>
  <c r="P5" i="7"/>
  <c r="AA65" i="7"/>
  <c r="N65" i="7"/>
  <c r="AF9" i="7"/>
  <c r="AI69" i="7"/>
  <c r="AE24" i="7"/>
  <c r="M27" i="7"/>
  <c r="Q26" i="7"/>
  <c r="P27" i="7"/>
  <c r="AA25" i="7"/>
  <c r="V26" i="7"/>
  <c r="W26" i="7" s="1"/>
  <c r="AB26" i="7"/>
  <c r="AC26" i="7" s="1"/>
  <c r="U25" i="7"/>
  <c r="AE44" i="7"/>
  <c r="AA45" i="7"/>
  <c r="U45" i="7"/>
  <c r="V46" i="7"/>
  <c r="W46" i="7" s="1"/>
  <c r="AB46" i="7"/>
  <c r="AC46" i="7" s="1"/>
  <c r="Q46" i="7"/>
  <c r="M47" i="7"/>
  <c r="P47" i="7"/>
  <c r="T52" i="7"/>
  <c r="Z52" i="7"/>
  <c r="S53" i="7"/>
  <c r="T32" i="7"/>
  <c r="Z32" i="7"/>
  <c r="S33" i="7"/>
  <c r="T12" i="7"/>
  <c r="Z12" i="7"/>
  <c r="S13" i="7"/>
  <c r="T73" i="7"/>
  <c r="AD25" i="7"/>
  <c r="H29" i="7"/>
  <c r="F70" i="7"/>
  <c r="K76" i="3"/>
  <c r="L77" i="3"/>
  <c r="L76" i="3" s="1"/>
  <c r="F4" i="2" s="1"/>
  <c r="M80" i="3"/>
  <c r="M82" i="3"/>
  <c r="AD54" i="5"/>
  <c r="L28" i="4"/>
  <c r="H69" i="4"/>
  <c r="D52" i="5"/>
  <c r="F52" i="5" s="1"/>
  <c r="H52" i="5" s="1"/>
  <c r="S48" i="3"/>
  <c r="R37" i="3"/>
  <c r="L48" i="6"/>
  <c r="M48" i="6" s="1"/>
  <c r="M70" i="5"/>
  <c r="T27" i="3"/>
  <c r="C53" i="6"/>
  <c r="D52" i="6"/>
  <c r="I49" i="6"/>
  <c r="J49" i="6"/>
  <c r="G51" i="6"/>
  <c r="F51" i="6"/>
  <c r="E51" i="6"/>
  <c r="H50" i="6"/>
  <c r="M14" i="3" s="1" a="1"/>
  <c r="M14" i="3" s="1"/>
  <c r="B74" i="5"/>
  <c r="B15" i="5"/>
  <c r="B35" i="5"/>
  <c r="B55" i="5"/>
  <c r="D34" i="5"/>
  <c r="F34" i="5" s="1"/>
  <c r="H34" i="5" s="1"/>
  <c r="U52" i="5"/>
  <c r="M53" i="5"/>
  <c r="U32" i="5"/>
  <c r="M33" i="5"/>
  <c r="M71" i="5" s="1"/>
  <c r="AE24" i="5"/>
  <c r="AF24" i="5" s="1"/>
  <c r="AC25" i="5"/>
  <c r="AB26" i="5"/>
  <c r="Z26" i="5"/>
  <c r="V26" i="5"/>
  <c r="AA26" i="5" s="1"/>
  <c r="O26" i="5"/>
  <c r="R26" i="5" s="1"/>
  <c r="Y27" i="5"/>
  <c r="P27" i="5"/>
  <c r="G28" i="5"/>
  <c r="J27" i="5"/>
  <c r="K27" i="5" s="1"/>
  <c r="U13" i="5"/>
  <c r="M14" i="5"/>
  <c r="H10" i="5"/>
  <c r="H68" i="5" s="1"/>
  <c r="F68" i="5"/>
  <c r="D69" i="5"/>
  <c r="F11" i="5"/>
  <c r="D12" i="5"/>
  <c r="C70" i="5"/>
  <c r="N12" i="5"/>
  <c r="AB69" i="5"/>
  <c r="AD12" i="5"/>
  <c r="AE4" i="5"/>
  <c r="AF4" i="5" s="1"/>
  <c r="AC5" i="5"/>
  <c r="AA62" i="5"/>
  <c r="Q6" i="5"/>
  <c r="Z6" i="5"/>
  <c r="J7" i="5"/>
  <c r="G8" i="5"/>
  <c r="V6" i="5"/>
  <c r="AA6" i="5" s="1"/>
  <c r="O6" i="5"/>
  <c r="P7" i="5"/>
  <c r="Y7" i="5"/>
  <c r="AB6" i="5"/>
  <c r="N8" i="4"/>
  <c r="H10" i="4"/>
  <c r="F71" i="4"/>
  <c r="C74" i="4"/>
  <c r="C12" i="4"/>
  <c r="D12" i="4" s="1"/>
  <c r="C32" i="4"/>
  <c r="D32" i="4" s="1"/>
  <c r="F32" i="4" s="1"/>
  <c r="H32" i="4" s="1"/>
  <c r="L32" i="4" s="1"/>
  <c r="C52" i="4"/>
  <c r="D52" i="4" s="1"/>
  <c r="F52" i="4" s="1"/>
  <c r="H52" i="4" s="1"/>
  <c r="L52" i="4" s="1"/>
  <c r="N52" i="4" s="1"/>
  <c r="D11" i="4"/>
  <c r="H9" i="4"/>
  <c r="F70" i="4"/>
  <c r="N7" i="4"/>
  <c r="O68" i="4" s="1"/>
  <c r="L68" i="4"/>
  <c r="M68" i="4" s="1"/>
  <c r="M67" i="4"/>
  <c r="T52" i="4"/>
  <c r="Z52" i="4"/>
  <c r="S53" i="4"/>
  <c r="AG45" i="4"/>
  <c r="AH45" i="4" s="1"/>
  <c r="AA47" i="4"/>
  <c r="U47" i="4"/>
  <c r="W47" i="4"/>
  <c r="AC47" i="4"/>
  <c r="V48" i="4"/>
  <c r="AB48" i="4"/>
  <c r="Q48" i="4"/>
  <c r="M49" i="4"/>
  <c r="P49" i="4"/>
  <c r="T32" i="4"/>
  <c r="S33" i="4"/>
  <c r="Z32" i="4"/>
  <c r="AG24" i="4"/>
  <c r="AH24" i="4" s="1"/>
  <c r="AE25" i="4"/>
  <c r="AD26" i="4"/>
  <c r="AA26" i="4"/>
  <c r="U26" i="4"/>
  <c r="W26" i="4"/>
  <c r="AC26" i="4"/>
  <c r="V27" i="4"/>
  <c r="AB27" i="4"/>
  <c r="Q27" i="4"/>
  <c r="P28" i="4"/>
  <c r="T12" i="4"/>
  <c r="Z12" i="4"/>
  <c r="S13" i="4"/>
  <c r="T73" i="4"/>
  <c r="W65" i="4"/>
  <c r="AD4" i="4"/>
  <c r="AC65" i="4"/>
  <c r="AA4" i="4"/>
  <c r="AB65" i="4" s="1"/>
  <c r="U4" i="4"/>
  <c r="V65" i="4" s="1"/>
  <c r="W4" i="4"/>
  <c r="X65" i="4" s="1"/>
  <c r="AC4" i="4"/>
  <c r="V5" i="4"/>
  <c r="AB5" i="4"/>
  <c r="R65" i="4"/>
  <c r="Q5" i="4"/>
  <c r="M6" i="4"/>
  <c r="P6" i="4"/>
  <c r="Q67" i="4" s="1"/>
  <c r="U66" i="4"/>
  <c r="AA66" i="4"/>
  <c r="N51" i="4"/>
  <c r="Q66" i="4"/>
  <c r="H168" i="3"/>
  <c r="B17" i="2"/>
  <c r="AH70" i="4" l="1"/>
  <c r="AF10" i="4"/>
  <c r="AD26" i="7"/>
  <c r="L29" i="7"/>
  <c r="H70" i="7"/>
  <c r="H11" i="7"/>
  <c r="F72" i="7"/>
  <c r="D73" i="7"/>
  <c r="F12" i="7"/>
  <c r="F32" i="7"/>
  <c r="H32" i="7" s="1"/>
  <c r="L32" i="7" s="1"/>
  <c r="N32" i="7" s="1"/>
  <c r="F52" i="7"/>
  <c r="H52" i="7" s="1"/>
  <c r="L52" i="7" s="1"/>
  <c r="C13" i="7"/>
  <c r="D13" i="7" s="1"/>
  <c r="C33" i="7"/>
  <c r="D33" i="7" s="1"/>
  <c r="F33" i="7" s="1"/>
  <c r="H33" i="7" s="1"/>
  <c r="L33" i="7" s="1"/>
  <c r="C53" i="7"/>
  <c r="D53" i="7" s="1"/>
  <c r="F53" i="7" s="1"/>
  <c r="H53" i="7" s="1"/>
  <c r="L53" i="7" s="1"/>
  <c r="N53" i="7" s="1"/>
  <c r="C75" i="7"/>
  <c r="L10" i="7"/>
  <c r="H71" i="7"/>
  <c r="N9" i="7"/>
  <c r="M68" i="7"/>
  <c r="W65" i="7"/>
  <c r="AC65" i="7"/>
  <c r="AD4" i="7"/>
  <c r="AA4" i="7"/>
  <c r="AB65" i="7" s="1"/>
  <c r="U4" i="7"/>
  <c r="V65" i="7" s="1"/>
  <c r="X65" i="7"/>
  <c r="AB5" i="7"/>
  <c r="AC5" i="7" s="1"/>
  <c r="AD66" i="7" s="1"/>
  <c r="R65" i="7"/>
  <c r="V5" i="7"/>
  <c r="M6" i="7"/>
  <c r="P6" i="7"/>
  <c r="Q67" i="7" s="1"/>
  <c r="U66" i="7"/>
  <c r="N66" i="7"/>
  <c r="AA66" i="7"/>
  <c r="Q5" i="7"/>
  <c r="AF10" i="7"/>
  <c r="AI70" i="7"/>
  <c r="AG24" i="7"/>
  <c r="AH24" i="7" s="1"/>
  <c r="AE25" i="7"/>
  <c r="Q27" i="7"/>
  <c r="M28" i="7"/>
  <c r="P28" i="7"/>
  <c r="AA26" i="7"/>
  <c r="AB27" i="7"/>
  <c r="AC27" i="7" s="1"/>
  <c r="V27" i="7"/>
  <c r="W27" i="7" s="1"/>
  <c r="U26" i="7"/>
  <c r="AG44" i="7"/>
  <c r="AH44" i="7" s="1"/>
  <c r="AE45" i="7"/>
  <c r="AD46" i="7"/>
  <c r="AA46" i="7"/>
  <c r="U46" i="7"/>
  <c r="V47" i="7"/>
  <c r="W47" i="7" s="1"/>
  <c r="AB47" i="7"/>
  <c r="AC47" i="7" s="1"/>
  <c r="Q47" i="7"/>
  <c r="M48" i="7"/>
  <c r="P48" i="7"/>
  <c r="T53" i="7"/>
  <c r="Z53" i="7"/>
  <c r="S54" i="7"/>
  <c r="T33" i="7"/>
  <c r="Z33" i="7"/>
  <c r="S34" i="7"/>
  <c r="T13" i="7"/>
  <c r="Z13" i="7"/>
  <c r="S14" i="7"/>
  <c r="T74" i="7"/>
  <c r="Q66" i="7"/>
  <c r="E4" i="2"/>
  <c r="M77" i="3"/>
  <c r="N80" i="3"/>
  <c r="N82" i="3"/>
  <c r="N28" i="4"/>
  <c r="O69" i="4" s="1"/>
  <c r="L69" i="4"/>
  <c r="M69" i="4" s="1"/>
  <c r="M28" i="4"/>
  <c r="D53" i="5"/>
  <c r="F53" i="5" s="1"/>
  <c r="H53" i="5" s="1"/>
  <c r="C56" i="5"/>
  <c r="S37" i="3"/>
  <c r="T48" i="3"/>
  <c r="R26" i="3"/>
  <c r="K7" i="5"/>
  <c r="H51" i="6"/>
  <c r="AB27" i="5"/>
  <c r="AD48" i="4"/>
  <c r="D53" i="6"/>
  <c r="C54" i="6"/>
  <c r="J51" i="6"/>
  <c r="I50" i="6"/>
  <c r="J50" i="6"/>
  <c r="L49" i="6"/>
  <c r="F52" i="6"/>
  <c r="G52" i="6"/>
  <c r="E52" i="6"/>
  <c r="B16" i="5"/>
  <c r="AD35" i="5"/>
  <c r="B36" i="5"/>
  <c r="D35" i="5"/>
  <c r="B56" i="5"/>
  <c r="AD55" i="5"/>
  <c r="U53" i="5"/>
  <c r="M54" i="5"/>
  <c r="U33" i="5"/>
  <c r="M34" i="5"/>
  <c r="AC26" i="5"/>
  <c r="AE25" i="5"/>
  <c r="AF25" i="5" s="1"/>
  <c r="Z27" i="5"/>
  <c r="Q27" i="5"/>
  <c r="V27" i="5"/>
  <c r="AA27" i="5" s="1"/>
  <c r="Y28" i="5"/>
  <c r="O27" i="5"/>
  <c r="R27" i="5" s="1"/>
  <c r="P28" i="5"/>
  <c r="Q28" i="5" s="1"/>
  <c r="G29" i="5"/>
  <c r="J28" i="5"/>
  <c r="K28" i="5" s="1"/>
  <c r="U14" i="5"/>
  <c r="M15" i="5"/>
  <c r="M72" i="5"/>
  <c r="H11" i="5"/>
  <c r="H69" i="5" s="1"/>
  <c r="F69" i="5"/>
  <c r="D70" i="5"/>
  <c r="F12" i="5"/>
  <c r="D13" i="5"/>
  <c r="C71" i="5"/>
  <c r="N13" i="5"/>
  <c r="AD13" i="5"/>
  <c r="AB70" i="5"/>
  <c r="AE5" i="5"/>
  <c r="AF5" i="5" s="1"/>
  <c r="AC6" i="5"/>
  <c r="J8" i="5"/>
  <c r="K8" i="5" s="1"/>
  <c r="G9" i="5"/>
  <c r="R6" i="5"/>
  <c r="Q7" i="5"/>
  <c r="Z7" i="5"/>
  <c r="AB7" i="5"/>
  <c r="L10" i="4"/>
  <c r="H71" i="4"/>
  <c r="C75" i="4"/>
  <c r="C13" i="4"/>
  <c r="D13" i="4" s="1"/>
  <c r="C53" i="4"/>
  <c r="D53" i="4" s="1"/>
  <c r="F53" i="4" s="1"/>
  <c r="H53" i="4" s="1"/>
  <c r="L53" i="4" s="1"/>
  <c r="N53" i="4" s="1"/>
  <c r="C33" i="4"/>
  <c r="D33" i="4" s="1"/>
  <c r="F33" i="4" s="1"/>
  <c r="H33" i="4" s="1"/>
  <c r="L33" i="4" s="1"/>
  <c r="N33" i="4" s="1"/>
  <c r="D73" i="4"/>
  <c r="F12" i="4"/>
  <c r="N32" i="4"/>
  <c r="D72" i="4"/>
  <c r="F11" i="4"/>
  <c r="L9" i="4"/>
  <c r="H70" i="4"/>
  <c r="S54" i="4"/>
  <c r="T53" i="4"/>
  <c r="Z53" i="4"/>
  <c r="AG46" i="4"/>
  <c r="AH46" i="4" s="1"/>
  <c r="AE47" i="4"/>
  <c r="AA48" i="4"/>
  <c r="U48" i="4"/>
  <c r="W48" i="4"/>
  <c r="AC48" i="4"/>
  <c r="V49" i="4"/>
  <c r="AB49" i="4"/>
  <c r="Q49" i="4"/>
  <c r="M50" i="4"/>
  <c r="P50" i="4"/>
  <c r="T33" i="4"/>
  <c r="S34" i="4"/>
  <c r="Z33" i="4"/>
  <c r="AG25" i="4"/>
  <c r="AH25" i="4" s="1"/>
  <c r="AE26" i="4"/>
  <c r="AA27" i="4"/>
  <c r="U27" i="4"/>
  <c r="W27" i="4"/>
  <c r="AC27" i="4"/>
  <c r="V28" i="4"/>
  <c r="AB28" i="4"/>
  <c r="T13" i="4"/>
  <c r="Z13" i="4"/>
  <c r="S14" i="4"/>
  <c r="T74" i="4"/>
  <c r="AD5" i="4"/>
  <c r="AF65" i="4"/>
  <c r="AE4" i="4"/>
  <c r="AD65" i="4"/>
  <c r="AA5" i="4"/>
  <c r="AB66" i="4" s="1"/>
  <c r="U5" i="4"/>
  <c r="V66" i="4" s="1"/>
  <c r="W5" i="4"/>
  <c r="X66" i="4" s="1"/>
  <c r="AC5" i="4"/>
  <c r="AD66" i="4" s="1"/>
  <c r="V6" i="4"/>
  <c r="W67" i="4" s="1"/>
  <c r="AB6" i="4"/>
  <c r="AC67" i="4" s="1"/>
  <c r="R66" i="4"/>
  <c r="Q6" i="4"/>
  <c r="M7" i="4"/>
  <c r="P7" i="4"/>
  <c r="N67" i="4"/>
  <c r="U67" i="4"/>
  <c r="AA67" i="4"/>
  <c r="AD27" i="4"/>
  <c r="W66" i="4"/>
  <c r="AC66" i="4"/>
  <c r="I168" i="3"/>
  <c r="C17" i="2"/>
  <c r="T12" i="3"/>
  <c r="J163" i="3"/>
  <c r="AH71" i="4" l="1"/>
  <c r="AF11" i="4"/>
  <c r="N29" i="7"/>
  <c r="O70" i="7" s="1"/>
  <c r="L70" i="7"/>
  <c r="M70" i="7" s="1"/>
  <c r="W66" i="7"/>
  <c r="W5" i="7"/>
  <c r="X66" i="7" s="1"/>
  <c r="L11" i="7"/>
  <c r="H72" i="7"/>
  <c r="H12" i="7"/>
  <c r="F73" i="7"/>
  <c r="N52" i="7"/>
  <c r="D74" i="7"/>
  <c r="F13" i="7"/>
  <c r="C76" i="7"/>
  <c r="C14" i="7"/>
  <c r="D14" i="7" s="1"/>
  <c r="C34" i="7"/>
  <c r="D34" i="7" s="1"/>
  <c r="F34" i="7" s="1"/>
  <c r="H34" i="7" s="1"/>
  <c r="L34" i="7" s="1"/>
  <c r="N34" i="7" s="1"/>
  <c r="C54" i="7"/>
  <c r="D54" i="7" s="1"/>
  <c r="F54" i="7" s="1"/>
  <c r="H54" i="7" s="1"/>
  <c r="L54" i="7" s="1"/>
  <c r="N54" i="7" s="1"/>
  <c r="N10" i="7"/>
  <c r="O71" i="7" s="1"/>
  <c r="L71" i="7"/>
  <c r="AD5" i="7"/>
  <c r="AG65" i="7"/>
  <c r="AE4" i="7"/>
  <c r="AD65" i="7"/>
  <c r="Q6" i="7"/>
  <c r="M7" i="7"/>
  <c r="P7" i="7"/>
  <c r="N67" i="7"/>
  <c r="AA67" i="7"/>
  <c r="U67" i="7"/>
  <c r="AA5" i="7"/>
  <c r="AB66" i="7" s="1"/>
  <c r="AF66" i="7" s="1"/>
  <c r="U5" i="7"/>
  <c r="V66" i="7" s="1"/>
  <c r="V6" i="7"/>
  <c r="W6" i="7" s="1"/>
  <c r="AB6" i="7"/>
  <c r="R66" i="7"/>
  <c r="AF11" i="7"/>
  <c r="AI71" i="7"/>
  <c r="AG25" i="7"/>
  <c r="AH25" i="7" s="1"/>
  <c r="AE26" i="7"/>
  <c r="AA27" i="7"/>
  <c r="U27" i="7"/>
  <c r="V28" i="7"/>
  <c r="W28" i="7" s="1"/>
  <c r="AB28" i="7"/>
  <c r="AC28" i="7" s="1"/>
  <c r="Q28" i="7"/>
  <c r="M29" i="7"/>
  <c r="P29" i="7"/>
  <c r="AD27" i="7"/>
  <c r="AG45" i="7"/>
  <c r="AH45" i="7" s="1"/>
  <c r="AE46" i="7"/>
  <c r="AA47" i="7"/>
  <c r="U47" i="7"/>
  <c r="V48" i="7"/>
  <c r="W48" i="7" s="1"/>
  <c r="AB48" i="7"/>
  <c r="AC48" i="7" s="1"/>
  <c r="Q48" i="7"/>
  <c r="M49" i="7"/>
  <c r="P49" i="7"/>
  <c r="T54" i="7"/>
  <c r="Z54" i="7"/>
  <c r="S55" i="7"/>
  <c r="T34" i="7"/>
  <c r="Z34" i="7"/>
  <c r="S35" i="7"/>
  <c r="T14" i="7"/>
  <c r="Z14" i="7"/>
  <c r="S15" i="7"/>
  <c r="T75" i="7"/>
  <c r="AD47" i="7"/>
  <c r="N33" i="7"/>
  <c r="AC66" i="7"/>
  <c r="M76" i="3"/>
  <c r="N77" i="3"/>
  <c r="I51" i="6"/>
  <c r="N14" i="3" a="1"/>
  <c r="N14" i="3" s="1"/>
  <c r="Q28" i="4"/>
  <c r="M29" i="4"/>
  <c r="P29" i="4"/>
  <c r="D55" i="5"/>
  <c r="F55" i="5" s="1"/>
  <c r="D54" i="5"/>
  <c r="V7" i="5"/>
  <c r="O7" i="5"/>
  <c r="P8" i="5"/>
  <c r="Y8" i="5"/>
  <c r="AB8" i="5" s="1"/>
  <c r="S26" i="3"/>
  <c r="T37" i="3"/>
  <c r="L6" i="2"/>
  <c r="L50" i="6"/>
  <c r="M50" i="6" s="1"/>
  <c r="H52" i="6"/>
  <c r="O14" i="3" s="1" a="1"/>
  <c r="O14" i="3" s="1"/>
  <c r="AD49" i="4"/>
  <c r="D54" i="6"/>
  <c r="F54" i="6" s="1"/>
  <c r="C55" i="6"/>
  <c r="M49" i="6"/>
  <c r="L51" i="6"/>
  <c r="F53" i="6"/>
  <c r="G53" i="6"/>
  <c r="E53" i="6"/>
  <c r="D36" i="5"/>
  <c r="F35" i="5"/>
  <c r="U54" i="5"/>
  <c r="M55" i="5"/>
  <c r="U55" i="5" s="1"/>
  <c r="U56" i="5" s="1"/>
  <c r="U34" i="5"/>
  <c r="M35" i="5"/>
  <c r="U35" i="5" s="1"/>
  <c r="U36" i="5" s="1"/>
  <c r="AC27" i="5"/>
  <c r="AE26" i="5"/>
  <c r="AF26" i="5" s="1"/>
  <c r="AB28" i="5"/>
  <c r="Z28" i="5"/>
  <c r="G30" i="5"/>
  <c r="J29" i="5"/>
  <c r="K29" i="5" s="1"/>
  <c r="V28" i="5"/>
  <c r="AA28" i="5" s="1"/>
  <c r="O28" i="5"/>
  <c r="R28" i="5" s="1"/>
  <c r="P29" i="5"/>
  <c r="Q29" i="5" s="1"/>
  <c r="Y29" i="5"/>
  <c r="Z29" i="5" s="1"/>
  <c r="U15" i="5"/>
  <c r="M73" i="5"/>
  <c r="M74" i="5" s="1"/>
  <c r="H12" i="5"/>
  <c r="H70" i="5" s="1"/>
  <c r="F70" i="5"/>
  <c r="F13" i="5"/>
  <c r="D71" i="5"/>
  <c r="D14" i="5"/>
  <c r="C72" i="5"/>
  <c r="N14" i="5"/>
  <c r="AB71" i="5"/>
  <c r="AD14" i="5"/>
  <c r="AC7" i="5"/>
  <c r="AE6" i="5"/>
  <c r="AF6" i="5" s="1"/>
  <c r="V8" i="5"/>
  <c r="AA8" i="5" s="1"/>
  <c r="O8" i="5"/>
  <c r="P9" i="5"/>
  <c r="Y9" i="5"/>
  <c r="J9" i="5"/>
  <c r="K9" i="5" s="1"/>
  <c r="G10" i="5"/>
  <c r="N10" i="4"/>
  <c r="O71" i="4" s="1"/>
  <c r="L71" i="4"/>
  <c r="M71" i="4" s="1"/>
  <c r="C76" i="4"/>
  <c r="C14" i="4"/>
  <c r="D14" i="4" s="1"/>
  <c r="C34" i="4"/>
  <c r="D34" i="4" s="1"/>
  <c r="F34" i="4" s="1"/>
  <c r="H34" i="4" s="1"/>
  <c r="L34" i="4" s="1"/>
  <c r="C54" i="4"/>
  <c r="D54" i="4" s="1"/>
  <c r="F54" i="4" s="1"/>
  <c r="H54" i="4" s="1"/>
  <c r="L54" i="4" s="1"/>
  <c r="N54" i="4" s="1"/>
  <c r="D74" i="4"/>
  <c r="F13" i="4"/>
  <c r="H12" i="4"/>
  <c r="F73" i="4"/>
  <c r="H11" i="4"/>
  <c r="F72" i="4"/>
  <c r="N9" i="4"/>
  <c r="O70" i="4" s="1"/>
  <c r="L70" i="4"/>
  <c r="Z54" i="4"/>
  <c r="S55" i="4"/>
  <c r="T54" i="4"/>
  <c r="AG47" i="4"/>
  <c r="AH47" i="4" s="1"/>
  <c r="AE48" i="4"/>
  <c r="AA49" i="4"/>
  <c r="U49" i="4"/>
  <c r="W49" i="4"/>
  <c r="AC49" i="4"/>
  <c r="V50" i="4"/>
  <c r="AB50" i="4"/>
  <c r="Q50" i="4"/>
  <c r="M51" i="4"/>
  <c r="P51" i="4"/>
  <c r="T34" i="4"/>
  <c r="Z34" i="4"/>
  <c r="S35" i="4"/>
  <c r="AG26" i="4"/>
  <c r="AH26" i="4" s="1"/>
  <c r="AE27" i="4"/>
  <c r="T14" i="4"/>
  <c r="Z14" i="4"/>
  <c r="S15" i="4"/>
  <c r="T75" i="4"/>
  <c r="AD6" i="4"/>
  <c r="AF66" i="4"/>
  <c r="AG4" i="4"/>
  <c r="AH4" i="4" s="1"/>
  <c r="AE5" i="4"/>
  <c r="AG65" i="4"/>
  <c r="AA6" i="4"/>
  <c r="AB67" i="4" s="1"/>
  <c r="U6" i="4"/>
  <c r="V67" i="4" s="1"/>
  <c r="W6" i="4"/>
  <c r="X67" i="4" s="1"/>
  <c r="AC6" i="4"/>
  <c r="V7" i="4"/>
  <c r="AB7" i="4"/>
  <c r="R67" i="4"/>
  <c r="Q7" i="4"/>
  <c r="M8" i="4"/>
  <c r="P8" i="4"/>
  <c r="Q69" i="4" s="1"/>
  <c r="AA68" i="4"/>
  <c r="N68" i="4"/>
  <c r="U68" i="4"/>
  <c r="Q68" i="4"/>
  <c r="AD28" i="4"/>
  <c r="AD48" i="7" l="1"/>
  <c r="AD28" i="7"/>
  <c r="AF12" i="4"/>
  <c r="AH72" i="4"/>
  <c r="AC67" i="7"/>
  <c r="AC6" i="7"/>
  <c r="T85" i="7"/>
  <c r="T86" i="7" s="1"/>
  <c r="AE66" i="7"/>
  <c r="N11" i="7"/>
  <c r="O72" i="7" s="1"/>
  <c r="L72" i="7"/>
  <c r="M72" i="7" s="1"/>
  <c r="L12" i="7"/>
  <c r="H73" i="7"/>
  <c r="H13" i="7"/>
  <c r="F74" i="7"/>
  <c r="C77" i="7"/>
  <c r="C15" i="7"/>
  <c r="D15" i="7" s="1"/>
  <c r="C35" i="7"/>
  <c r="D35" i="7" s="1"/>
  <c r="F35" i="7" s="1"/>
  <c r="H35" i="7" s="1"/>
  <c r="L35" i="7" s="1"/>
  <c r="N35" i="7" s="1"/>
  <c r="C55" i="7"/>
  <c r="D55" i="7" s="1"/>
  <c r="F55" i="7" s="1"/>
  <c r="H55" i="7" s="1"/>
  <c r="L55" i="7" s="1"/>
  <c r="N55" i="7" s="1"/>
  <c r="D75" i="7"/>
  <c r="F14" i="7"/>
  <c r="M71" i="7"/>
  <c r="AD6" i="7"/>
  <c r="AG66" i="7"/>
  <c r="AG4" i="7"/>
  <c r="AH4" i="7" s="1"/>
  <c r="AE5" i="7"/>
  <c r="AH65" i="7"/>
  <c r="AA6" i="7"/>
  <c r="AB67" i="7" s="1"/>
  <c r="AF67" i="7" s="1"/>
  <c r="K10" i="3" s="1" a="1"/>
  <c r="K10" i="3" s="1"/>
  <c r="U6" i="7"/>
  <c r="V67" i="7" s="1"/>
  <c r="X67" i="7"/>
  <c r="V7" i="7"/>
  <c r="AB7" i="7"/>
  <c r="AC7" i="7" s="1"/>
  <c r="R67" i="7"/>
  <c r="Q7" i="7"/>
  <c r="AA68" i="7"/>
  <c r="U68" i="7"/>
  <c r="M8" i="7"/>
  <c r="P8" i="7"/>
  <c r="Q69" i="7" s="1"/>
  <c r="N68" i="7"/>
  <c r="Q68" i="7"/>
  <c r="W67" i="7"/>
  <c r="AF12" i="7"/>
  <c r="AI72" i="7"/>
  <c r="AG26" i="7"/>
  <c r="AH26" i="7" s="1"/>
  <c r="AE27" i="7"/>
  <c r="AA28" i="7"/>
  <c r="V29" i="7"/>
  <c r="W29" i="7" s="1"/>
  <c r="AB29" i="7"/>
  <c r="U28" i="7"/>
  <c r="Q29" i="7"/>
  <c r="M30" i="7"/>
  <c r="P30" i="7"/>
  <c r="AG46" i="7"/>
  <c r="AH46" i="7" s="1"/>
  <c r="AE47" i="7"/>
  <c r="AA48" i="7"/>
  <c r="U48" i="7"/>
  <c r="V49" i="7"/>
  <c r="W49" i="7" s="1"/>
  <c r="AB49" i="7"/>
  <c r="Q49" i="7"/>
  <c r="M50" i="7"/>
  <c r="P50" i="7"/>
  <c r="Z55" i="7"/>
  <c r="S56" i="7"/>
  <c r="T55" i="7"/>
  <c r="T35" i="7"/>
  <c r="Z35" i="7"/>
  <c r="S36" i="7"/>
  <c r="T15" i="7"/>
  <c r="Z15" i="7"/>
  <c r="S16" i="7"/>
  <c r="T76" i="7"/>
  <c r="J5" i="3"/>
  <c r="J4" i="3" s="1"/>
  <c r="G4" i="2"/>
  <c r="O82" i="3"/>
  <c r="O80" i="3"/>
  <c r="N76" i="3"/>
  <c r="H4" i="2" s="1"/>
  <c r="P82" i="3"/>
  <c r="P80" i="3"/>
  <c r="M6" i="2"/>
  <c r="T26" i="3"/>
  <c r="U28" i="4"/>
  <c r="AC28" i="4"/>
  <c r="AE28" i="4" s="1"/>
  <c r="AB29" i="4"/>
  <c r="AD29" i="4" s="1"/>
  <c r="AA28" i="4"/>
  <c r="W28" i="4"/>
  <c r="V29" i="4"/>
  <c r="M30" i="4"/>
  <c r="Q29" i="4"/>
  <c r="P30" i="4"/>
  <c r="F54" i="5"/>
  <c r="D56" i="5"/>
  <c r="AA7" i="5"/>
  <c r="R7" i="5"/>
  <c r="Q8" i="5"/>
  <c r="Z8" i="5"/>
  <c r="J52" i="6"/>
  <c r="I52" i="6"/>
  <c r="H53" i="6"/>
  <c r="P14" i="3" s="1" a="1"/>
  <c r="P14" i="3" s="1"/>
  <c r="AD50" i="4"/>
  <c r="D55" i="6"/>
  <c r="C56" i="6"/>
  <c r="L52" i="6"/>
  <c r="M52" i="6" s="1"/>
  <c r="E54" i="6"/>
  <c r="G54" i="6"/>
  <c r="M51" i="6"/>
  <c r="H35" i="5"/>
  <c r="F36" i="5"/>
  <c r="H36" i="5" s="1"/>
  <c r="H55" i="5"/>
  <c r="AC28" i="5"/>
  <c r="AE27" i="5"/>
  <c r="AF27" i="5" s="1"/>
  <c r="J30" i="5"/>
  <c r="K30" i="5" s="1"/>
  <c r="G31" i="5"/>
  <c r="V29" i="5"/>
  <c r="AA29" i="5" s="1"/>
  <c r="P30" i="5"/>
  <c r="Q30" i="5" s="1"/>
  <c r="Y30" i="5"/>
  <c r="Z30" i="5" s="1"/>
  <c r="O29" i="5"/>
  <c r="R29" i="5" s="1"/>
  <c r="U16" i="5"/>
  <c r="H13" i="5"/>
  <c r="H71" i="5" s="1"/>
  <c r="F71" i="5"/>
  <c r="D72" i="5"/>
  <c r="F14" i="5"/>
  <c r="D15" i="5"/>
  <c r="C16" i="5"/>
  <c r="C73" i="5"/>
  <c r="C74" i="5" s="1"/>
  <c r="N15" i="5"/>
  <c r="AD15" i="5"/>
  <c r="AB73" i="5" s="1"/>
  <c r="AB72" i="5"/>
  <c r="AE7" i="5"/>
  <c r="AF7" i="5" s="1"/>
  <c r="R8" i="5"/>
  <c r="Q9" i="5"/>
  <c r="Z9" i="5"/>
  <c r="V9" i="5"/>
  <c r="AA9" i="5" s="1"/>
  <c r="O9" i="5"/>
  <c r="P10" i="5"/>
  <c r="Y10" i="5"/>
  <c r="G11" i="5"/>
  <c r="J10" i="5"/>
  <c r="AB9" i="5"/>
  <c r="AB29" i="5"/>
  <c r="C15" i="4"/>
  <c r="D15" i="4" s="1"/>
  <c r="C35" i="4"/>
  <c r="D35" i="4" s="1"/>
  <c r="F35" i="4" s="1"/>
  <c r="H35" i="4" s="1"/>
  <c r="L35" i="4" s="1"/>
  <c r="N35" i="4" s="1"/>
  <c r="C55" i="4"/>
  <c r="D55" i="4" s="1"/>
  <c r="F55" i="4" s="1"/>
  <c r="H55" i="4" s="1"/>
  <c r="L55" i="4" s="1"/>
  <c r="N55" i="4" s="1"/>
  <c r="C77" i="4"/>
  <c r="D75" i="4"/>
  <c r="F14" i="4"/>
  <c r="N34" i="4"/>
  <c r="H13" i="4"/>
  <c r="F74" i="4"/>
  <c r="L12" i="4"/>
  <c r="H73" i="4"/>
  <c r="L11" i="4"/>
  <c r="H72" i="4"/>
  <c r="M70" i="4"/>
  <c r="T55" i="4"/>
  <c r="Z55" i="4"/>
  <c r="S56" i="4"/>
  <c r="AG48" i="4"/>
  <c r="AH48" i="4" s="1"/>
  <c r="AE49" i="4"/>
  <c r="AA50" i="4"/>
  <c r="U50" i="4"/>
  <c r="W50" i="4"/>
  <c r="AC50" i="4"/>
  <c r="V51" i="4"/>
  <c r="AB51" i="4"/>
  <c r="Q51" i="4"/>
  <c r="M52" i="4"/>
  <c r="P52" i="4"/>
  <c r="T35" i="4"/>
  <c r="Z35" i="4"/>
  <c r="S36" i="4"/>
  <c r="AG27" i="4"/>
  <c r="AH27" i="4" s="1"/>
  <c r="T15" i="4"/>
  <c r="Z15" i="4"/>
  <c r="S16" i="4"/>
  <c r="T76" i="4"/>
  <c r="AD7" i="4"/>
  <c r="AF67" i="4"/>
  <c r="AG5" i="4"/>
  <c r="AH5" i="4" s="1"/>
  <c r="AE6" i="4"/>
  <c r="AG66" i="4"/>
  <c r="AD67" i="4"/>
  <c r="W68" i="4"/>
  <c r="AC68" i="4"/>
  <c r="AA7" i="4"/>
  <c r="AB68" i="4" s="1"/>
  <c r="U7" i="4"/>
  <c r="V68" i="4" s="1"/>
  <c r="W7" i="4"/>
  <c r="X68" i="4" s="1"/>
  <c r="AC7" i="4"/>
  <c r="V8" i="4"/>
  <c r="AB8" i="4"/>
  <c r="R68" i="4"/>
  <c r="Q8" i="4"/>
  <c r="M9" i="4"/>
  <c r="P9" i="4"/>
  <c r="N69" i="4"/>
  <c r="AA69" i="4"/>
  <c r="U69" i="4"/>
  <c r="P77" i="3" l="1"/>
  <c r="P76" i="3" s="1"/>
  <c r="J4" i="2" s="1"/>
  <c r="AF13" i="4"/>
  <c r="AH73" i="4"/>
  <c r="AD29" i="7"/>
  <c r="AC29" i="7"/>
  <c r="AD49" i="7"/>
  <c r="AC49" i="7"/>
  <c r="W68" i="7"/>
  <c r="W7" i="7"/>
  <c r="X68" i="7" s="1"/>
  <c r="N12" i="7"/>
  <c r="O73" i="7" s="1"/>
  <c r="L73" i="7"/>
  <c r="L13" i="7"/>
  <c r="H74" i="7"/>
  <c r="C78" i="7"/>
  <c r="C56" i="7"/>
  <c r="C16" i="7"/>
  <c r="C36" i="7"/>
  <c r="D76" i="7"/>
  <c r="F15" i="7"/>
  <c r="H14" i="7"/>
  <c r="F75" i="7"/>
  <c r="AD7" i="7"/>
  <c r="AG67" i="7"/>
  <c r="AE6" i="7"/>
  <c r="AH66" i="7"/>
  <c r="AG5" i="7"/>
  <c r="AH5" i="7" s="1"/>
  <c r="AC68" i="7"/>
  <c r="AA7" i="7"/>
  <c r="AB68" i="7" s="1"/>
  <c r="AF68" i="7" s="1"/>
  <c r="L10" i="3" s="1" a="1"/>
  <c r="L10" i="3" s="1"/>
  <c r="U7" i="7"/>
  <c r="V68" i="7" s="1"/>
  <c r="R68" i="7"/>
  <c r="AE68" i="7" s="1"/>
  <c r="L8" i="3" s="1" a="1"/>
  <c r="L8" i="3" s="1"/>
  <c r="V8" i="7"/>
  <c r="W8" i="7" s="1"/>
  <c r="AB8" i="7"/>
  <c r="AC8" i="7" s="1"/>
  <c r="Q8" i="7"/>
  <c r="M9" i="7"/>
  <c r="P9" i="7"/>
  <c r="N69" i="7"/>
  <c r="U69" i="7"/>
  <c r="AA69" i="7"/>
  <c r="AF13" i="7"/>
  <c r="AI73" i="7"/>
  <c r="AE28" i="7"/>
  <c r="AG27" i="7"/>
  <c r="AH27" i="7" s="1"/>
  <c r="AA29" i="7"/>
  <c r="U29" i="7"/>
  <c r="V30" i="7"/>
  <c r="W30" i="7" s="1"/>
  <c r="AB30" i="7"/>
  <c r="Q30" i="7"/>
  <c r="M31" i="7"/>
  <c r="P31" i="7"/>
  <c r="AG47" i="7"/>
  <c r="AH47" i="7" s="1"/>
  <c r="AE48" i="7"/>
  <c r="AA49" i="7"/>
  <c r="U49" i="7"/>
  <c r="V50" i="7"/>
  <c r="W50" i="7" s="1"/>
  <c r="AB50" i="7"/>
  <c r="Q50" i="7"/>
  <c r="M51" i="7"/>
  <c r="P51" i="7"/>
  <c r="Z56" i="7"/>
  <c r="Z57" i="7" s="1"/>
  <c r="T56" i="7"/>
  <c r="T57" i="7" s="1"/>
  <c r="S57" i="7" s="1"/>
  <c r="T36" i="7"/>
  <c r="T37" i="7" s="1"/>
  <c r="S37" i="7" s="1"/>
  <c r="Z36" i="7"/>
  <c r="Z37" i="7" s="1"/>
  <c r="T16" i="7"/>
  <c r="T17" i="7" s="1"/>
  <c r="S17" i="7" s="1"/>
  <c r="Z16" i="7"/>
  <c r="Z17" i="7" s="1"/>
  <c r="T77" i="7"/>
  <c r="AD67" i="7"/>
  <c r="K6" i="3" s="1" a="1"/>
  <c r="K6" i="3" s="1"/>
  <c r="O77" i="3"/>
  <c r="Q80" i="3"/>
  <c r="Q82" i="3"/>
  <c r="H54" i="5"/>
  <c r="P31" i="4"/>
  <c r="Q30" i="4"/>
  <c r="M31" i="4"/>
  <c r="AB30" i="4"/>
  <c r="AD30" i="4" s="1"/>
  <c r="U29" i="4"/>
  <c r="W29" i="4"/>
  <c r="V30" i="4"/>
  <c r="AC29" i="4"/>
  <c r="AE29" i="4" s="1"/>
  <c r="AA29" i="4"/>
  <c r="AC8" i="5"/>
  <c r="AB30" i="5"/>
  <c r="J53" i="6"/>
  <c r="I53" i="6"/>
  <c r="H54" i="6"/>
  <c r="Q14" i="3" s="1" a="1"/>
  <c r="Q14" i="3" s="1"/>
  <c r="AD51" i="4"/>
  <c r="C57" i="6"/>
  <c r="D56" i="6"/>
  <c r="F55" i="6"/>
  <c r="E55" i="6"/>
  <c r="G55" i="6"/>
  <c r="AC29" i="5"/>
  <c r="AE28" i="5"/>
  <c r="AF28" i="5" s="1"/>
  <c r="V30" i="5"/>
  <c r="AA30" i="5" s="1"/>
  <c r="O30" i="5"/>
  <c r="R30" i="5" s="1"/>
  <c r="P31" i="5"/>
  <c r="Q31" i="5" s="1"/>
  <c r="Y31" i="5"/>
  <c r="J31" i="5"/>
  <c r="K31" i="5" s="1"/>
  <c r="G32" i="5"/>
  <c r="H14" i="5"/>
  <c r="F72" i="5"/>
  <c r="D73" i="5"/>
  <c r="D74" i="5" s="1"/>
  <c r="F15" i="5"/>
  <c r="D16" i="5"/>
  <c r="N16" i="5"/>
  <c r="M16" i="5" s="1"/>
  <c r="R9" i="5"/>
  <c r="Q10" i="5"/>
  <c r="Z10" i="5"/>
  <c r="G12" i="5"/>
  <c r="J11" i="5"/>
  <c r="AB10" i="5"/>
  <c r="K10" i="5"/>
  <c r="D76" i="4"/>
  <c r="F15" i="4"/>
  <c r="C78" i="4"/>
  <c r="C16" i="4"/>
  <c r="C36" i="4"/>
  <c r="C56" i="4"/>
  <c r="H14" i="4"/>
  <c r="F75" i="4"/>
  <c r="L13" i="4"/>
  <c r="H74" i="4"/>
  <c r="N12" i="4"/>
  <c r="O73" i="4" s="1"/>
  <c r="L73" i="4"/>
  <c r="M73" i="4" s="1"/>
  <c r="N11" i="4"/>
  <c r="O72" i="4" s="1"/>
  <c r="L72" i="4"/>
  <c r="T56" i="4"/>
  <c r="T57" i="4" s="1"/>
  <c r="S57" i="4" s="1"/>
  <c r="Z56" i="4"/>
  <c r="Z57" i="4" s="1"/>
  <c r="AG49" i="4"/>
  <c r="AH49" i="4" s="1"/>
  <c r="AE50" i="4"/>
  <c r="AA51" i="4"/>
  <c r="U51" i="4"/>
  <c r="W51" i="4"/>
  <c r="AC51" i="4"/>
  <c r="V52" i="4"/>
  <c r="AB52" i="4"/>
  <c r="Q52" i="4"/>
  <c r="M53" i="4"/>
  <c r="P53" i="4"/>
  <c r="T36" i="4"/>
  <c r="T37" i="4" s="1"/>
  <c r="S37" i="4" s="1"/>
  <c r="Z36" i="4"/>
  <c r="Z37" i="4" s="1"/>
  <c r="AG28" i="4"/>
  <c r="AH28" i="4" s="1"/>
  <c r="T16" i="4"/>
  <c r="T17" i="4" s="1"/>
  <c r="S17" i="4" s="1"/>
  <c r="Z16" i="4"/>
  <c r="Z17" i="4" s="1"/>
  <c r="T77" i="4"/>
  <c r="AD8" i="4"/>
  <c r="AF68" i="4"/>
  <c r="AG6" i="4"/>
  <c r="AH6" i="4" s="1"/>
  <c r="AE7" i="4"/>
  <c r="AG67" i="4"/>
  <c r="AA8" i="4"/>
  <c r="AB69" i="4" s="1"/>
  <c r="U8" i="4"/>
  <c r="V69" i="4" s="1"/>
  <c r="W8" i="4"/>
  <c r="X69" i="4" s="1"/>
  <c r="AC8" i="4"/>
  <c r="AD69" i="4" s="1"/>
  <c r="V9" i="4"/>
  <c r="W70" i="4" s="1"/>
  <c r="AB9" i="4"/>
  <c r="AC70" i="4" s="1"/>
  <c r="R69" i="4"/>
  <c r="Q9" i="4"/>
  <c r="M10" i="4"/>
  <c r="P10" i="4"/>
  <c r="Q71" i="4" s="1"/>
  <c r="N70" i="4"/>
  <c r="U70" i="4"/>
  <c r="AA70" i="4"/>
  <c r="Q70" i="4"/>
  <c r="AD68" i="4"/>
  <c r="W69" i="4"/>
  <c r="AC69" i="4"/>
  <c r="AF14" i="4" l="1"/>
  <c r="AH74" i="4"/>
  <c r="I3" i="3"/>
  <c r="K143" i="3"/>
  <c r="K142" i="3" s="1"/>
  <c r="K86" i="3" s="1"/>
  <c r="D15" i="2"/>
  <c r="D3" i="2"/>
  <c r="D5" i="2" s="1"/>
  <c r="J144" i="3"/>
  <c r="J164" i="3" s="1"/>
  <c r="J167" i="3" s="1"/>
  <c r="J165" i="3"/>
  <c r="J166" i="3" s="1"/>
  <c r="AD30" i="7"/>
  <c r="AC30" i="7"/>
  <c r="AD50" i="7"/>
  <c r="AC50" i="7"/>
  <c r="M73" i="7"/>
  <c r="N13" i="7"/>
  <c r="O74" i="7" s="1"/>
  <c r="L74" i="7"/>
  <c r="M74" i="7" s="1"/>
  <c r="C57" i="7"/>
  <c r="D56" i="7"/>
  <c r="C17" i="7"/>
  <c r="D16" i="7"/>
  <c r="C37" i="7"/>
  <c r="D36" i="7"/>
  <c r="H15" i="7"/>
  <c r="F76" i="7"/>
  <c r="L14" i="7"/>
  <c r="H75" i="7"/>
  <c r="AG68" i="7"/>
  <c r="AD8" i="7"/>
  <c r="AG6" i="7"/>
  <c r="AH6" i="7" s="1"/>
  <c r="AE7" i="7"/>
  <c r="AH67" i="7"/>
  <c r="W69" i="7"/>
  <c r="AA8" i="7"/>
  <c r="AB69" i="7" s="1"/>
  <c r="AF69" i="7" s="1"/>
  <c r="M10" i="3" s="1" a="1"/>
  <c r="M10" i="3" s="1"/>
  <c r="U8" i="7"/>
  <c r="V69" i="7" s="1"/>
  <c r="X69" i="7"/>
  <c r="AD69" i="7"/>
  <c r="M6" i="3" s="1" a="1"/>
  <c r="M6" i="3" s="1"/>
  <c r="V9" i="7"/>
  <c r="AB9" i="7"/>
  <c r="R69" i="7"/>
  <c r="AE69" i="7" s="1"/>
  <c r="M8" i="3" s="1" a="1"/>
  <c r="M8" i="3" s="1"/>
  <c r="Q9" i="7"/>
  <c r="M10" i="7"/>
  <c r="P10" i="7"/>
  <c r="Q71" i="7" s="1"/>
  <c r="N70" i="7"/>
  <c r="AA70" i="7"/>
  <c r="U70" i="7"/>
  <c r="Q70" i="7"/>
  <c r="AF14" i="7"/>
  <c r="AI74" i="7"/>
  <c r="AG28" i="7"/>
  <c r="AH28" i="7" s="1"/>
  <c r="AE29" i="7"/>
  <c r="AA30" i="7"/>
  <c r="U30" i="7"/>
  <c r="V31" i="7"/>
  <c r="W31" i="7" s="1"/>
  <c r="AB31" i="7"/>
  <c r="Q31" i="7"/>
  <c r="M32" i="7"/>
  <c r="P32" i="7"/>
  <c r="AG48" i="7"/>
  <c r="AH48" i="7" s="1"/>
  <c r="AE49" i="7"/>
  <c r="AA50" i="7"/>
  <c r="U50" i="7"/>
  <c r="V51" i="7"/>
  <c r="W51" i="7" s="1"/>
  <c r="AB51" i="7"/>
  <c r="Q51" i="7"/>
  <c r="M52" i="7"/>
  <c r="P52" i="7"/>
  <c r="AD68" i="7"/>
  <c r="L6" i="3" s="1" a="1"/>
  <c r="L6" i="3" s="1"/>
  <c r="AC69" i="7"/>
  <c r="O76" i="3"/>
  <c r="Q77" i="3"/>
  <c r="R82" i="3"/>
  <c r="R80" i="3"/>
  <c r="H72" i="5"/>
  <c r="U30" i="4"/>
  <c r="V31" i="4"/>
  <c r="AC30" i="4"/>
  <c r="AE30" i="4" s="1"/>
  <c r="AA30" i="4"/>
  <c r="W30" i="4"/>
  <c r="AB31" i="4"/>
  <c r="AD31" i="4" s="1"/>
  <c r="Q31" i="4"/>
  <c r="AC31" i="4" s="1"/>
  <c r="P32" i="4"/>
  <c r="M32" i="4"/>
  <c r="AC9" i="5"/>
  <c r="AE8" i="5"/>
  <c r="AF8" i="5" s="1"/>
  <c r="L53" i="6"/>
  <c r="M53" i="6" s="1"/>
  <c r="I54" i="6"/>
  <c r="J54" i="6"/>
  <c r="AD52" i="4"/>
  <c r="D57" i="6"/>
  <c r="C58" i="6"/>
  <c r="L54" i="6"/>
  <c r="M54" i="6" s="1"/>
  <c r="H55" i="6"/>
  <c r="R14" i="3" s="1" a="1"/>
  <c r="R14" i="3" s="1"/>
  <c r="F56" i="6"/>
  <c r="G56" i="6"/>
  <c r="E56" i="6"/>
  <c r="AC30" i="5"/>
  <c r="AE29" i="5"/>
  <c r="AF29" i="5" s="1"/>
  <c r="AB31" i="5"/>
  <c r="Z31" i="5"/>
  <c r="V31" i="5"/>
  <c r="AA31" i="5" s="1"/>
  <c r="O31" i="5"/>
  <c r="R31" i="5" s="1"/>
  <c r="P32" i="5"/>
  <c r="Q32" i="5" s="1"/>
  <c r="Y32" i="5"/>
  <c r="Z32" i="5" s="1"/>
  <c r="J32" i="5"/>
  <c r="K32" i="5" s="1"/>
  <c r="G33" i="5"/>
  <c r="H15" i="5"/>
  <c r="H73" i="5" s="1"/>
  <c r="F16" i="5"/>
  <c r="H16" i="5" s="1"/>
  <c r="F73" i="5"/>
  <c r="J12" i="5"/>
  <c r="K12" i="5" s="1"/>
  <c r="G13" i="5"/>
  <c r="Y11" i="5"/>
  <c r="AB11" i="5" s="1"/>
  <c r="O10" i="5"/>
  <c r="P11" i="5"/>
  <c r="V10" i="5"/>
  <c r="AA10" i="5" s="1"/>
  <c r="K11" i="5"/>
  <c r="H15" i="4"/>
  <c r="F76" i="4"/>
  <c r="C17" i="4"/>
  <c r="D16" i="4"/>
  <c r="C37" i="4"/>
  <c r="D36" i="4"/>
  <c r="C57" i="4"/>
  <c r="D56" i="4"/>
  <c r="L14" i="4"/>
  <c r="H75" i="4"/>
  <c r="N13" i="4"/>
  <c r="O74" i="4" s="1"/>
  <c r="L74" i="4"/>
  <c r="M74" i="4" s="1"/>
  <c r="M72" i="4"/>
  <c r="AG50" i="4"/>
  <c r="AH50" i="4" s="1"/>
  <c r="AE51" i="4"/>
  <c r="AA52" i="4"/>
  <c r="U52" i="4"/>
  <c r="W52" i="4"/>
  <c r="AC52" i="4"/>
  <c r="V53" i="4"/>
  <c r="AB53" i="4"/>
  <c r="Q53" i="4"/>
  <c r="M54" i="4"/>
  <c r="P54" i="4"/>
  <c r="AG29" i="4"/>
  <c r="AH29" i="4" s="1"/>
  <c r="AD9" i="4"/>
  <c r="AF69" i="4"/>
  <c r="AG7" i="4"/>
  <c r="AH7" i="4" s="1"/>
  <c r="AE8" i="4"/>
  <c r="AG68" i="4"/>
  <c r="AA9" i="4"/>
  <c r="AB70" i="4" s="1"/>
  <c r="U9" i="4"/>
  <c r="V70" i="4" s="1"/>
  <c r="W9" i="4"/>
  <c r="X70" i="4" s="1"/>
  <c r="AC9" i="4"/>
  <c r="V10" i="4"/>
  <c r="W71" i="4" s="1"/>
  <c r="AB10" i="4"/>
  <c r="AC71" i="4" s="1"/>
  <c r="R70" i="4"/>
  <c r="AE70" i="4" s="1"/>
  <c r="Q10" i="4"/>
  <c r="M11" i="4"/>
  <c r="P11" i="4"/>
  <c r="Q72" i="4" s="1"/>
  <c r="AA71" i="4"/>
  <c r="N71" i="4"/>
  <c r="U71" i="4"/>
  <c r="AF15" i="4" l="1"/>
  <c r="AH75" i="4"/>
  <c r="E7" i="2"/>
  <c r="K25" i="3"/>
  <c r="D8" i="2"/>
  <c r="D12" i="2"/>
  <c r="J168" i="3"/>
  <c r="K163" i="3"/>
  <c r="D17" i="2"/>
  <c r="AC70" i="7"/>
  <c r="AC9" i="7"/>
  <c r="AD70" i="7" s="1"/>
  <c r="N6" i="3" s="1" a="1"/>
  <c r="N6" i="3" s="1"/>
  <c r="AD31" i="7"/>
  <c r="AC31" i="7"/>
  <c r="AD51" i="7"/>
  <c r="AC51" i="7"/>
  <c r="W70" i="7"/>
  <c r="W9" i="7"/>
  <c r="X70" i="7" s="1"/>
  <c r="D57" i="7"/>
  <c r="F56" i="7"/>
  <c r="H56" i="7" s="1"/>
  <c r="L56" i="7" s="1"/>
  <c r="D17" i="7"/>
  <c r="D77" i="7"/>
  <c r="D78" i="7" s="1"/>
  <c r="D80" i="7" s="1"/>
  <c r="F16" i="7"/>
  <c r="D37" i="7"/>
  <c r="F36" i="7"/>
  <c r="H36" i="7" s="1"/>
  <c r="L36" i="7" s="1"/>
  <c r="L15" i="7"/>
  <c r="H76" i="7"/>
  <c r="N14" i="7"/>
  <c r="O75" i="7" s="1"/>
  <c r="L75" i="7"/>
  <c r="M75" i="7" s="1"/>
  <c r="AD9" i="7"/>
  <c r="AG69" i="7"/>
  <c r="AG7" i="7"/>
  <c r="AH7" i="7" s="1"/>
  <c r="AH68" i="7"/>
  <c r="AE8" i="7"/>
  <c r="AA9" i="7"/>
  <c r="AB70" i="7" s="1"/>
  <c r="AF70" i="7" s="1"/>
  <c r="N10" i="3" s="1" a="1"/>
  <c r="N10" i="3" s="1"/>
  <c r="U9" i="7"/>
  <c r="V70" i="7" s="1"/>
  <c r="V10" i="7"/>
  <c r="W10" i="7" s="1"/>
  <c r="AB10" i="7"/>
  <c r="R70" i="7"/>
  <c r="AE70" i="7" s="1"/>
  <c r="N8" i="3" s="1" a="1"/>
  <c r="N8" i="3" s="1"/>
  <c r="Q10" i="7"/>
  <c r="M11" i="7"/>
  <c r="P11" i="7"/>
  <c r="Q72" i="7" s="1"/>
  <c r="U71" i="7"/>
  <c r="AA71" i="7"/>
  <c r="N71" i="7"/>
  <c r="AF15" i="7"/>
  <c r="AI75" i="7"/>
  <c r="AG29" i="7"/>
  <c r="AH29" i="7" s="1"/>
  <c r="AE30" i="7"/>
  <c r="AA31" i="7"/>
  <c r="U31" i="7"/>
  <c r="V32" i="7"/>
  <c r="W32" i="7" s="1"/>
  <c r="AB32" i="7"/>
  <c r="Q32" i="7"/>
  <c r="M33" i="7"/>
  <c r="P33" i="7"/>
  <c r="AG49" i="7"/>
  <c r="AH49" i="7" s="1"/>
  <c r="AE50" i="7"/>
  <c r="AA51" i="7"/>
  <c r="U51" i="7"/>
  <c r="V52" i="7"/>
  <c r="W52" i="7" s="1"/>
  <c r="AB52" i="7"/>
  <c r="Q52" i="7"/>
  <c r="M53" i="7"/>
  <c r="P53" i="7"/>
  <c r="I4" i="2"/>
  <c r="R77" i="3"/>
  <c r="R76" i="3" s="1"/>
  <c r="Q76" i="3"/>
  <c r="K4" i="2" s="1"/>
  <c r="S80" i="3"/>
  <c r="T80" i="3" s="1"/>
  <c r="S82" i="3"/>
  <c r="T82" i="3" s="1"/>
  <c r="W31" i="4"/>
  <c r="AA31" i="4"/>
  <c r="V32" i="4"/>
  <c r="AB32" i="4"/>
  <c r="AD32" i="4" s="1"/>
  <c r="U31" i="4"/>
  <c r="P33" i="4"/>
  <c r="Q32" i="4"/>
  <c r="V33" i="4" s="1"/>
  <c r="M33" i="4"/>
  <c r="AE9" i="5"/>
  <c r="AF9" i="5" s="1"/>
  <c r="AC10" i="5"/>
  <c r="H56" i="6"/>
  <c r="S14" i="3" s="1" a="1"/>
  <c r="S14" i="3" s="1"/>
  <c r="T14" i="3" s="1"/>
  <c r="AD53" i="4"/>
  <c r="D58" i="6"/>
  <c r="J55" i="6"/>
  <c r="I55" i="6"/>
  <c r="E57" i="6"/>
  <c r="F57" i="6"/>
  <c r="G57" i="6"/>
  <c r="AE30" i="5"/>
  <c r="AF30" i="5" s="1"/>
  <c r="AC31" i="5"/>
  <c r="V32" i="5"/>
  <c r="AA32" i="5" s="1"/>
  <c r="O32" i="5"/>
  <c r="R32" i="5" s="1"/>
  <c r="P33" i="5"/>
  <c r="Q33" i="5" s="1"/>
  <c r="Y33" i="5"/>
  <c r="Z33" i="5" s="1"/>
  <c r="J33" i="5"/>
  <c r="K33" i="5" s="1"/>
  <c r="G34" i="5"/>
  <c r="V12" i="5"/>
  <c r="AA12" i="5" s="1"/>
  <c r="Y13" i="5"/>
  <c r="P13" i="5"/>
  <c r="O12" i="5"/>
  <c r="J13" i="5"/>
  <c r="G14" i="5"/>
  <c r="Z11" i="5"/>
  <c r="R10" i="5"/>
  <c r="Q11" i="5"/>
  <c r="P12" i="5"/>
  <c r="Y12" i="5"/>
  <c r="AB12" i="5" s="1"/>
  <c r="O11" i="5"/>
  <c r="V11" i="5"/>
  <c r="AA11" i="5" s="1"/>
  <c r="AB32" i="5"/>
  <c r="L15" i="4"/>
  <c r="H76" i="4"/>
  <c r="D17" i="4"/>
  <c r="D77" i="4"/>
  <c r="D78" i="4" s="1"/>
  <c r="D80" i="4" s="1"/>
  <c r="F16" i="4"/>
  <c r="D37" i="4"/>
  <c r="F36" i="4"/>
  <c r="H36" i="4" s="1"/>
  <c r="L36" i="4" s="1"/>
  <c r="D57" i="4"/>
  <c r="F56" i="4"/>
  <c r="H56" i="4" s="1"/>
  <c r="L56" i="4" s="1"/>
  <c r="N14" i="4"/>
  <c r="O75" i="4" s="1"/>
  <c r="L75" i="4"/>
  <c r="M75" i="4" s="1"/>
  <c r="AG51" i="4"/>
  <c r="AH51" i="4" s="1"/>
  <c r="AE52" i="4"/>
  <c r="AC53" i="4"/>
  <c r="W53" i="4"/>
  <c r="V54" i="4"/>
  <c r="AB54" i="4"/>
  <c r="AA53" i="4"/>
  <c r="U53" i="4"/>
  <c r="Q54" i="4"/>
  <c r="M55" i="4"/>
  <c r="P55" i="4"/>
  <c r="AG30" i="4"/>
  <c r="AH30" i="4" s="1"/>
  <c r="AE31" i="4"/>
  <c r="AD10" i="4"/>
  <c r="AF70" i="4"/>
  <c r="AG8" i="4"/>
  <c r="AH8" i="4" s="1"/>
  <c r="AE9" i="4"/>
  <c r="AG69" i="4"/>
  <c r="AD70" i="4"/>
  <c r="AA10" i="4"/>
  <c r="AB71" i="4" s="1"/>
  <c r="U10" i="4"/>
  <c r="V71" i="4" s="1"/>
  <c r="W10" i="4"/>
  <c r="X71" i="4" s="1"/>
  <c r="AC10" i="4"/>
  <c r="AD71" i="4" s="1"/>
  <c r="V11" i="4"/>
  <c r="W72" i="4" s="1"/>
  <c r="AB11" i="4"/>
  <c r="AC72" i="4" s="1"/>
  <c r="R71" i="4"/>
  <c r="AE71" i="4" s="1"/>
  <c r="Q11" i="4"/>
  <c r="M12" i="4"/>
  <c r="P12" i="4"/>
  <c r="Q73" i="4" s="1"/>
  <c r="N72" i="4"/>
  <c r="AA72" i="4"/>
  <c r="U72" i="4"/>
  <c r="AF16" i="4" l="1"/>
  <c r="AH77" i="4" s="1"/>
  <c r="AH76" i="4"/>
  <c r="D13" i="2"/>
  <c r="D11" i="2"/>
  <c r="D14" i="2" s="1"/>
  <c r="AC71" i="7"/>
  <c r="AC10" i="7"/>
  <c r="AD71" i="7" s="1"/>
  <c r="O6" i="3" s="1" a="1"/>
  <c r="O6" i="3" s="1"/>
  <c r="AD32" i="7"/>
  <c r="AC32" i="7"/>
  <c r="AD52" i="7"/>
  <c r="AC52" i="7"/>
  <c r="F57" i="7"/>
  <c r="H57" i="7" s="1"/>
  <c r="D59" i="7"/>
  <c r="F59" i="7" s="1"/>
  <c r="H59" i="7" s="1"/>
  <c r="L57" i="7"/>
  <c r="N56" i="7"/>
  <c r="F17" i="7"/>
  <c r="H17" i="7" s="1"/>
  <c r="D19" i="7"/>
  <c r="F19" i="7" s="1"/>
  <c r="H19" i="7" s="1"/>
  <c r="H16" i="7"/>
  <c r="F77" i="7"/>
  <c r="F37" i="7"/>
  <c r="H37" i="7" s="1"/>
  <c r="D39" i="7"/>
  <c r="F39" i="7" s="1"/>
  <c r="H39" i="7" s="1"/>
  <c r="L37" i="7"/>
  <c r="N36" i="7"/>
  <c r="N15" i="7"/>
  <c r="O76" i="7" s="1"/>
  <c r="L76" i="7"/>
  <c r="M76" i="7" s="1"/>
  <c r="AD10" i="7"/>
  <c r="AG70" i="7"/>
  <c r="AG8" i="7"/>
  <c r="AH8" i="7" s="1"/>
  <c r="AE9" i="7"/>
  <c r="AH69" i="7"/>
  <c r="W71" i="7"/>
  <c r="AA10" i="7"/>
  <c r="AB71" i="7" s="1"/>
  <c r="AF71" i="7" s="1"/>
  <c r="O10" i="3" s="1" a="1"/>
  <c r="O10" i="3" s="1"/>
  <c r="U10" i="7"/>
  <c r="V71" i="7" s="1"/>
  <c r="X71" i="7"/>
  <c r="V11" i="7"/>
  <c r="AB11" i="7"/>
  <c r="R71" i="7"/>
  <c r="AE71" i="7" s="1"/>
  <c r="O8" i="3" s="1" a="1"/>
  <c r="O8" i="3" s="1"/>
  <c r="Q11" i="7"/>
  <c r="M12" i="7"/>
  <c r="P12" i="7"/>
  <c r="Q73" i="7" s="1"/>
  <c r="N72" i="7"/>
  <c r="U72" i="7"/>
  <c r="AA72" i="7"/>
  <c r="AF16" i="7"/>
  <c r="AI77" i="7" s="1"/>
  <c r="AI76" i="7"/>
  <c r="AG30" i="7"/>
  <c r="AH30" i="7" s="1"/>
  <c r="AE31" i="7"/>
  <c r="AA32" i="7"/>
  <c r="U32" i="7"/>
  <c r="V33" i="7"/>
  <c r="W33" i="7" s="1"/>
  <c r="AB33" i="7"/>
  <c r="Q33" i="7"/>
  <c r="M34" i="7"/>
  <c r="P34" i="7"/>
  <c r="AG50" i="7"/>
  <c r="AH50" i="7" s="1"/>
  <c r="AE51" i="7"/>
  <c r="AA52" i="7"/>
  <c r="U52" i="7"/>
  <c r="V53" i="7"/>
  <c r="W53" i="7" s="1"/>
  <c r="AB53" i="7"/>
  <c r="Q53" i="7"/>
  <c r="M54" i="7"/>
  <c r="P54" i="7"/>
  <c r="S77" i="3"/>
  <c r="L4" i="2"/>
  <c r="P34" i="4"/>
  <c r="Q33" i="4"/>
  <c r="M34" i="4"/>
  <c r="AA32" i="4"/>
  <c r="U32" i="4"/>
  <c r="W32" i="4"/>
  <c r="AB33" i="4"/>
  <c r="AD33" i="4" s="1"/>
  <c r="AC32" i="4"/>
  <c r="AE32" i="4" s="1"/>
  <c r="AE10" i="5"/>
  <c r="AF10" i="5" s="1"/>
  <c r="L55" i="6"/>
  <c r="M55" i="6" s="1"/>
  <c r="J56" i="6"/>
  <c r="I56" i="6"/>
  <c r="AD54" i="4"/>
  <c r="AB33" i="5"/>
  <c r="H57" i="6"/>
  <c r="G58" i="6"/>
  <c r="G59" i="6" s="1"/>
  <c r="F58" i="6"/>
  <c r="F59" i="6" s="1"/>
  <c r="E58" i="6"/>
  <c r="AE31" i="5"/>
  <c r="AF31" i="5" s="1"/>
  <c r="AC32" i="5"/>
  <c r="V33" i="5"/>
  <c r="AA33" i="5" s="1"/>
  <c r="O33" i="5"/>
  <c r="R33" i="5" s="1"/>
  <c r="P34" i="5"/>
  <c r="Q34" i="5" s="1"/>
  <c r="Y34" i="5"/>
  <c r="J34" i="5"/>
  <c r="K34" i="5" s="1"/>
  <c r="G35" i="5"/>
  <c r="Z13" i="5"/>
  <c r="Q13" i="5"/>
  <c r="R12" i="5"/>
  <c r="J14" i="5"/>
  <c r="K14" i="5" s="1"/>
  <c r="G15" i="5"/>
  <c r="AB13" i="5"/>
  <c r="Q12" i="5"/>
  <c r="Z12" i="5"/>
  <c r="R11" i="5"/>
  <c r="K13" i="5"/>
  <c r="AC11" i="5"/>
  <c r="N15" i="4"/>
  <c r="O76" i="4" s="1"/>
  <c r="L76" i="4"/>
  <c r="M76" i="4" s="1"/>
  <c r="F17" i="4"/>
  <c r="H17" i="4" s="1"/>
  <c r="D19" i="4"/>
  <c r="F19" i="4" s="1"/>
  <c r="H19" i="4" s="1"/>
  <c r="H16" i="4"/>
  <c r="F77" i="4"/>
  <c r="F37" i="4"/>
  <c r="H37" i="4" s="1"/>
  <c r="D39" i="4"/>
  <c r="F39" i="4" s="1"/>
  <c r="H39" i="4" s="1"/>
  <c r="L37" i="4"/>
  <c r="N36" i="4"/>
  <c r="F57" i="4"/>
  <c r="H57" i="4" s="1"/>
  <c r="D59" i="4"/>
  <c r="F59" i="4" s="1"/>
  <c r="H59" i="4" s="1"/>
  <c r="L57" i="4"/>
  <c r="N56" i="4"/>
  <c r="AG52" i="4"/>
  <c r="AH52" i="4" s="1"/>
  <c r="AE53" i="4"/>
  <c r="AA54" i="4"/>
  <c r="U54" i="4"/>
  <c r="W54" i="4"/>
  <c r="AC54" i="4"/>
  <c r="V55" i="4"/>
  <c r="AB55" i="4"/>
  <c r="Q55" i="4"/>
  <c r="M56" i="4"/>
  <c r="P56" i="4"/>
  <c r="P57" i="4" s="1"/>
  <c r="AG31" i="4"/>
  <c r="AH31" i="4" s="1"/>
  <c r="AD11" i="4"/>
  <c r="AF71" i="4"/>
  <c r="AG9" i="4"/>
  <c r="AH9" i="4" s="1"/>
  <c r="AE10" i="4"/>
  <c r="AG70" i="4"/>
  <c r="AA11" i="4"/>
  <c r="AB72" i="4" s="1"/>
  <c r="U11" i="4"/>
  <c r="V72" i="4" s="1"/>
  <c r="W11" i="4"/>
  <c r="X72" i="4" s="1"/>
  <c r="AC11" i="4"/>
  <c r="AD72" i="4" s="1"/>
  <c r="V12" i="4"/>
  <c r="W73" i="4" s="1"/>
  <c r="AB12" i="4"/>
  <c r="AC73" i="4" s="1"/>
  <c r="R72" i="4"/>
  <c r="AE72" i="4" s="1"/>
  <c r="Q12" i="4"/>
  <c r="M13" i="4"/>
  <c r="P13" i="4"/>
  <c r="Q74" i="4" s="1"/>
  <c r="AA73" i="4"/>
  <c r="N73" i="4"/>
  <c r="U73" i="4"/>
  <c r="AC72" i="7" l="1"/>
  <c r="AC11" i="7"/>
  <c r="AD72" i="7" s="1"/>
  <c r="P6" i="3" s="1" a="1"/>
  <c r="P6" i="3" s="1"/>
  <c r="AD33" i="7"/>
  <c r="AC33" i="7"/>
  <c r="AD53" i="7"/>
  <c r="AC53" i="7"/>
  <c r="W72" i="7"/>
  <c r="W11" i="7"/>
  <c r="X72" i="7" s="1"/>
  <c r="L16" i="7"/>
  <c r="H77" i="7"/>
  <c r="AD11" i="7"/>
  <c r="AG71" i="7"/>
  <c r="AG9" i="7"/>
  <c r="AH9" i="7" s="1"/>
  <c r="AE10" i="7"/>
  <c r="AH70" i="7"/>
  <c r="AA11" i="7"/>
  <c r="AB72" i="7" s="1"/>
  <c r="AF72" i="7" s="1"/>
  <c r="P10" i="3" s="1" a="1"/>
  <c r="P10" i="3" s="1"/>
  <c r="U11" i="7"/>
  <c r="V72" i="7" s="1"/>
  <c r="V12" i="7"/>
  <c r="AB12" i="7"/>
  <c r="R72" i="7"/>
  <c r="AE72" i="7" s="1"/>
  <c r="P8" i="3" s="1" a="1"/>
  <c r="P8" i="3" s="1"/>
  <c r="Q12" i="7"/>
  <c r="M13" i="7"/>
  <c r="P13" i="7"/>
  <c r="Q74" i="7" s="1"/>
  <c r="N73" i="7"/>
  <c r="U73" i="7"/>
  <c r="AA73" i="7"/>
  <c r="AG31" i="7"/>
  <c r="AH31" i="7" s="1"/>
  <c r="AE32" i="7"/>
  <c r="AA33" i="7"/>
  <c r="U33" i="7"/>
  <c r="V34" i="7"/>
  <c r="W34" i="7" s="1"/>
  <c r="AB34" i="7"/>
  <c r="Q34" i="7"/>
  <c r="M35" i="7"/>
  <c r="P35" i="7"/>
  <c r="AG51" i="7"/>
  <c r="AH51" i="7" s="1"/>
  <c r="AE52" i="7"/>
  <c r="AA53" i="7"/>
  <c r="U53" i="7"/>
  <c r="V54" i="7"/>
  <c r="W54" i="7" s="1"/>
  <c r="AB54" i="7"/>
  <c r="Q54" i="7"/>
  <c r="M55" i="7"/>
  <c r="P55" i="7"/>
  <c r="T77" i="3"/>
  <c r="S76" i="3"/>
  <c r="AA33" i="4"/>
  <c r="V34" i="4"/>
  <c r="U33" i="4"/>
  <c r="W33" i="4"/>
  <c r="AC33" i="4"/>
  <c r="AE33" i="4" s="1"/>
  <c r="AB34" i="4"/>
  <c r="AD34" i="4" s="1"/>
  <c r="Q34" i="4"/>
  <c r="M35" i="4"/>
  <c r="P35" i="4"/>
  <c r="AD55" i="4"/>
  <c r="L56" i="6"/>
  <c r="M56" i="6" s="1"/>
  <c r="J57" i="6"/>
  <c r="I57" i="6"/>
  <c r="H58" i="6"/>
  <c r="E59" i="6"/>
  <c r="H59" i="6" s="1"/>
  <c r="AE32" i="5"/>
  <c r="AF32" i="5" s="1"/>
  <c r="AC33" i="5"/>
  <c r="AB34" i="5"/>
  <c r="Z34" i="5"/>
  <c r="V34" i="5"/>
  <c r="AA34" i="5" s="1"/>
  <c r="O34" i="5"/>
  <c r="R34" i="5" s="1"/>
  <c r="P35" i="5"/>
  <c r="Y35" i="5"/>
  <c r="G36" i="5"/>
  <c r="J35" i="5"/>
  <c r="V14" i="5"/>
  <c r="AA14" i="5" s="1"/>
  <c r="O14" i="5"/>
  <c r="P15" i="5"/>
  <c r="Y15" i="5"/>
  <c r="G16" i="5"/>
  <c r="J15" i="5"/>
  <c r="K15" i="5" s="1"/>
  <c r="Y14" i="5"/>
  <c r="AB14" i="5" s="1"/>
  <c r="P14" i="5"/>
  <c r="O13" i="5"/>
  <c r="V13" i="5"/>
  <c r="AA13" i="5" s="1"/>
  <c r="AC12" i="5"/>
  <c r="AE11" i="5"/>
  <c r="AF11" i="5" s="1"/>
  <c r="L16" i="4"/>
  <c r="H77" i="4"/>
  <c r="AE54" i="4"/>
  <c r="AG53" i="4"/>
  <c r="AH53" i="4" s="1"/>
  <c r="AA55" i="4"/>
  <c r="U55" i="4"/>
  <c r="W55" i="4"/>
  <c r="AC55" i="4"/>
  <c r="V56" i="4"/>
  <c r="V57" i="4" s="1"/>
  <c r="W57" i="4" s="1"/>
  <c r="AB56" i="4"/>
  <c r="M57" i="4"/>
  <c r="Q56" i="4"/>
  <c r="AG32" i="4"/>
  <c r="AH32" i="4" s="1"/>
  <c r="AD12" i="4"/>
  <c r="AF72" i="4"/>
  <c r="AG10" i="4"/>
  <c r="AH10" i="4" s="1"/>
  <c r="AE11" i="4"/>
  <c r="AG71" i="4"/>
  <c r="AA12" i="4"/>
  <c r="AB73" i="4" s="1"/>
  <c r="U12" i="4"/>
  <c r="V73" i="4" s="1"/>
  <c r="W12" i="4"/>
  <c r="X73" i="4" s="1"/>
  <c r="AC12" i="4"/>
  <c r="AD73" i="4" s="1"/>
  <c r="V13" i="4"/>
  <c r="W74" i="4" s="1"/>
  <c r="AB13" i="4"/>
  <c r="AC74" i="4" s="1"/>
  <c r="R73" i="4"/>
  <c r="AE73" i="4" s="1"/>
  <c r="Q13" i="4"/>
  <c r="M14" i="4"/>
  <c r="P14" i="4"/>
  <c r="Q75" i="4" s="1"/>
  <c r="U74" i="4"/>
  <c r="N74" i="4"/>
  <c r="AA74" i="4"/>
  <c r="AC73" i="7" l="1"/>
  <c r="AC12" i="7"/>
  <c r="AD73" i="7" s="1"/>
  <c r="Q6" i="3" s="1" a="1"/>
  <c r="Q6" i="3" s="1"/>
  <c r="AD34" i="7"/>
  <c r="AC34" i="7"/>
  <c r="AD54" i="7"/>
  <c r="AC54" i="7"/>
  <c r="W73" i="7"/>
  <c r="W12" i="7"/>
  <c r="X73" i="7" s="1"/>
  <c r="L17" i="7"/>
  <c r="N16" i="7"/>
  <c r="O77" i="7" s="1"/>
  <c r="O78" i="7" s="1"/>
  <c r="L77" i="7"/>
  <c r="AD12" i="7"/>
  <c r="AG72" i="7"/>
  <c r="AG10" i="7"/>
  <c r="AH10" i="7" s="1"/>
  <c r="AE11" i="7"/>
  <c r="AH71" i="7"/>
  <c r="AA12" i="7"/>
  <c r="AB73" i="7" s="1"/>
  <c r="AF73" i="7" s="1"/>
  <c r="Q10" i="3" s="1" a="1"/>
  <c r="Q10" i="3" s="1"/>
  <c r="U12" i="7"/>
  <c r="V73" i="7" s="1"/>
  <c r="V13" i="7"/>
  <c r="AB13" i="7"/>
  <c r="R73" i="7"/>
  <c r="AE73" i="7" s="1"/>
  <c r="Q8" i="3" s="1" a="1"/>
  <c r="Q8" i="3" s="1"/>
  <c r="Q13" i="7"/>
  <c r="M14" i="7"/>
  <c r="P14" i="7"/>
  <c r="Q75" i="7" s="1"/>
  <c r="U74" i="7"/>
  <c r="AA74" i="7"/>
  <c r="N74" i="7"/>
  <c r="AG32" i="7"/>
  <c r="AH32" i="7" s="1"/>
  <c r="AE33" i="7"/>
  <c r="AA34" i="7"/>
  <c r="U34" i="7"/>
  <c r="V35" i="7"/>
  <c r="W35" i="7" s="1"/>
  <c r="AB35" i="7"/>
  <c r="Q35" i="7"/>
  <c r="M36" i="7"/>
  <c r="P36" i="7"/>
  <c r="P37" i="7" s="1"/>
  <c r="AG52" i="7"/>
  <c r="AH52" i="7" s="1"/>
  <c r="AE53" i="7"/>
  <c r="AA54" i="7"/>
  <c r="U54" i="7"/>
  <c r="AB55" i="7"/>
  <c r="V55" i="7"/>
  <c r="W55" i="7" s="1"/>
  <c r="Q55" i="7"/>
  <c r="M56" i="7"/>
  <c r="P56" i="7"/>
  <c r="P57" i="7" s="1"/>
  <c r="T76" i="3"/>
  <c r="M4" i="2"/>
  <c r="AA34" i="4"/>
  <c r="U34" i="4"/>
  <c r="W34" i="4"/>
  <c r="AC34" i="4"/>
  <c r="AE34" i="4" s="1"/>
  <c r="V35" i="4"/>
  <c r="AB35" i="4"/>
  <c r="AD35" i="4" s="1"/>
  <c r="Q35" i="4"/>
  <c r="M36" i="4"/>
  <c r="P36" i="4"/>
  <c r="P37" i="4" s="1"/>
  <c r="J36" i="5"/>
  <c r="K35" i="5"/>
  <c r="V35" i="5" s="1"/>
  <c r="AA35" i="5" s="1"/>
  <c r="AA36" i="5" s="1"/>
  <c r="L57" i="6"/>
  <c r="M57" i="6" s="1"/>
  <c r="J58" i="6"/>
  <c r="I58" i="6"/>
  <c r="AE33" i="5"/>
  <c r="AF33" i="5" s="1"/>
  <c r="AC34" i="5"/>
  <c r="P36" i="5"/>
  <c r="Q36" i="5" s="1"/>
  <c r="Q35" i="5"/>
  <c r="Y36" i="5"/>
  <c r="Z35" i="5"/>
  <c r="Z36" i="5" s="1"/>
  <c r="Z38" i="5" s="1"/>
  <c r="R14" i="5"/>
  <c r="P16" i="5"/>
  <c r="Q16" i="5" s="1"/>
  <c r="Q15" i="5"/>
  <c r="Y16" i="5"/>
  <c r="Z15" i="5"/>
  <c r="J16" i="5"/>
  <c r="V15" i="5"/>
  <c r="AA15" i="5" s="1"/>
  <c r="O15" i="5"/>
  <c r="K16" i="5"/>
  <c r="AB15" i="5"/>
  <c r="Z14" i="5"/>
  <c r="Q14" i="5"/>
  <c r="R13" i="5"/>
  <c r="AC13" i="5"/>
  <c r="AE12" i="5"/>
  <c r="AF12" i="5" s="1"/>
  <c r="AB35" i="5"/>
  <c r="L17" i="4"/>
  <c r="N16" i="4"/>
  <c r="O77" i="4" s="1"/>
  <c r="O78" i="4" s="1"/>
  <c r="L77" i="4"/>
  <c r="AG54" i="4"/>
  <c r="AH54" i="4" s="1"/>
  <c r="AE55" i="4"/>
  <c r="AD56" i="4"/>
  <c r="AB57" i="4"/>
  <c r="AA56" i="4"/>
  <c r="U56" i="4"/>
  <c r="W56" i="4"/>
  <c r="AC56" i="4"/>
  <c r="AC57" i="4" s="1"/>
  <c r="Q57" i="4"/>
  <c r="AG33" i="4"/>
  <c r="AH33" i="4" s="1"/>
  <c r="AD13" i="4"/>
  <c r="AF73" i="4"/>
  <c r="AG11" i="4"/>
  <c r="AH11" i="4" s="1"/>
  <c r="AE12" i="4"/>
  <c r="AG72" i="4"/>
  <c r="AA13" i="4"/>
  <c r="AB74" i="4" s="1"/>
  <c r="U13" i="4"/>
  <c r="V74" i="4" s="1"/>
  <c r="W13" i="4"/>
  <c r="X74" i="4" s="1"/>
  <c r="AC13" i="4"/>
  <c r="AD74" i="4" s="1"/>
  <c r="V14" i="4"/>
  <c r="W75" i="4" s="1"/>
  <c r="AB14" i="4"/>
  <c r="AC75" i="4" s="1"/>
  <c r="R74" i="4"/>
  <c r="AE74" i="4" s="1"/>
  <c r="Q14" i="4"/>
  <c r="M15" i="4"/>
  <c r="P15" i="4"/>
  <c r="Q76" i="4" s="1"/>
  <c r="N75" i="4"/>
  <c r="U75" i="4"/>
  <c r="AA75" i="4"/>
  <c r="AC74" i="7" l="1"/>
  <c r="AC13" i="7"/>
  <c r="AD74" i="7" s="1"/>
  <c r="R6" i="3" s="1" a="1"/>
  <c r="R6" i="3" s="1"/>
  <c r="AD35" i="7"/>
  <c r="AC35" i="7"/>
  <c r="AD55" i="7"/>
  <c r="AC55" i="7"/>
  <c r="Z91" i="7"/>
  <c r="W74" i="7"/>
  <c r="W13" i="7"/>
  <c r="X74" i="7" s="1"/>
  <c r="L78" i="7"/>
  <c r="M77" i="7"/>
  <c r="M78" i="7" s="1"/>
  <c r="AD13" i="7"/>
  <c r="AG73" i="7"/>
  <c r="AG11" i="7"/>
  <c r="AH11" i="7" s="1"/>
  <c r="AE12" i="7"/>
  <c r="AH72" i="7"/>
  <c r="AA13" i="7"/>
  <c r="AB74" i="7" s="1"/>
  <c r="AF74" i="7" s="1"/>
  <c r="R10" i="3" s="1" a="1"/>
  <c r="R10" i="3" s="1"/>
  <c r="U13" i="7"/>
  <c r="V74" i="7" s="1"/>
  <c r="V14" i="7"/>
  <c r="AB14" i="7"/>
  <c r="R74" i="7"/>
  <c r="AE74" i="7" s="1"/>
  <c r="R8" i="3" s="1" a="1"/>
  <c r="R8" i="3" s="1"/>
  <c r="Q14" i="7"/>
  <c r="M15" i="7"/>
  <c r="P15" i="7"/>
  <c r="Q76" i="7" s="1"/>
  <c r="U75" i="7"/>
  <c r="N75" i="7"/>
  <c r="AA75" i="7"/>
  <c r="AG33" i="7"/>
  <c r="AH33" i="7" s="1"/>
  <c r="AE34" i="7"/>
  <c r="AA35" i="7"/>
  <c r="U35" i="7"/>
  <c r="V36" i="7"/>
  <c r="AB36" i="7"/>
  <c r="AC36" i="7" s="1"/>
  <c r="M37" i="7"/>
  <c r="Q36" i="7"/>
  <c r="AG53" i="7"/>
  <c r="AH53" i="7" s="1"/>
  <c r="AE54" i="7"/>
  <c r="AA55" i="7"/>
  <c r="V56" i="7"/>
  <c r="AB56" i="7"/>
  <c r="AC56" i="7" s="1"/>
  <c r="U55" i="7"/>
  <c r="M57" i="7"/>
  <c r="Q56" i="7"/>
  <c r="AA35" i="4"/>
  <c r="U35" i="4"/>
  <c r="AC35" i="4"/>
  <c r="AE35" i="4" s="1"/>
  <c r="V36" i="4"/>
  <c r="V37" i="4" s="1"/>
  <c r="W37" i="4" s="1"/>
  <c r="AB36" i="4"/>
  <c r="W35" i="4"/>
  <c r="M37" i="4"/>
  <c r="Q36" i="4"/>
  <c r="O35" i="5"/>
  <c r="K36" i="5"/>
  <c r="L58" i="6"/>
  <c r="AE34" i="5"/>
  <c r="AF34" i="5" s="1"/>
  <c r="AC35" i="5"/>
  <c r="AE35" i="5" s="1"/>
  <c r="Z16" i="5"/>
  <c r="Z18" i="5" s="1"/>
  <c r="R15" i="5"/>
  <c r="O16" i="5"/>
  <c r="K18" i="5"/>
  <c r="AE13" i="5"/>
  <c r="AF13" i="5" s="1"/>
  <c r="AC14" i="5"/>
  <c r="L78" i="4"/>
  <c r="M77" i="4"/>
  <c r="M78" i="4" s="1"/>
  <c r="AG55" i="4"/>
  <c r="AH55" i="4" s="1"/>
  <c r="AE56" i="4"/>
  <c r="AG56" i="4" s="1"/>
  <c r="U57" i="4"/>
  <c r="Q59" i="4"/>
  <c r="AG34" i="4"/>
  <c r="AH34" i="4" s="1"/>
  <c r="AD14" i="4"/>
  <c r="AF74" i="4"/>
  <c r="AG12" i="4"/>
  <c r="AH12" i="4" s="1"/>
  <c r="AE13" i="4"/>
  <c r="AG73" i="4"/>
  <c r="AA14" i="4"/>
  <c r="AB75" i="4" s="1"/>
  <c r="U14" i="4"/>
  <c r="V75" i="4" s="1"/>
  <c r="W14" i="4"/>
  <c r="X75" i="4" s="1"/>
  <c r="AC14" i="4"/>
  <c r="AD75" i="4" s="1"/>
  <c r="V15" i="4"/>
  <c r="W76" i="4" s="1"/>
  <c r="AB15" i="4"/>
  <c r="AC76" i="4" s="1"/>
  <c r="R75" i="4"/>
  <c r="AE75" i="4" s="1"/>
  <c r="Q15" i="4"/>
  <c r="M16" i="4"/>
  <c r="P16" i="4"/>
  <c r="U76" i="4"/>
  <c r="N76" i="4"/>
  <c r="AA76" i="4"/>
  <c r="AC75" i="7" l="1"/>
  <c r="AC14" i="7"/>
  <c r="AD75" i="7" s="1"/>
  <c r="S6" i="3" s="1" a="1"/>
  <c r="S6" i="3" s="1"/>
  <c r="T6" i="3" s="1"/>
  <c r="V37" i="7"/>
  <c r="W37" i="7" s="1"/>
  <c r="W36" i="7"/>
  <c r="V57" i="7"/>
  <c r="W57" i="7" s="1"/>
  <c r="W56" i="7"/>
  <c r="W75" i="7"/>
  <c r="W14" i="7"/>
  <c r="X75" i="7" s="1"/>
  <c r="AD14" i="7"/>
  <c r="AG74" i="7"/>
  <c r="AG12" i="7"/>
  <c r="AH12" i="7" s="1"/>
  <c r="AE13" i="7"/>
  <c r="AH73" i="7"/>
  <c r="AA14" i="7"/>
  <c r="AB75" i="7" s="1"/>
  <c r="AF75" i="7" s="1"/>
  <c r="S10" i="3" s="1" a="1"/>
  <c r="S10" i="3" s="1"/>
  <c r="T10" i="3" s="1"/>
  <c r="U14" i="7"/>
  <c r="V75" i="7" s="1"/>
  <c r="V15" i="7"/>
  <c r="AB15" i="7"/>
  <c r="R75" i="7"/>
  <c r="AE75" i="7" s="1"/>
  <c r="S8" i="3" s="1" a="1"/>
  <c r="S8" i="3" s="1"/>
  <c r="T8" i="3" s="1"/>
  <c r="Q15" i="7"/>
  <c r="M16" i="7"/>
  <c r="P16" i="7"/>
  <c r="N76" i="7"/>
  <c r="U76" i="7"/>
  <c r="AA76" i="7"/>
  <c r="AG34" i="7"/>
  <c r="AH34" i="7" s="1"/>
  <c r="AE35" i="7"/>
  <c r="AD36" i="7"/>
  <c r="AB37" i="7"/>
  <c r="AA36" i="7"/>
  <c r="U36" i="7"/>
  <c r="AC37" i="7"/>
  <c r="Q37" i="7"/>
  <c r="AG54" i="7"/>
  <c r="AH54" i="7" s="1"/>
  <c r="AE55" i="7"/>
  <c r="AD56" i="7"/>
  <c r="AB57" i="7"/>
  <c r="AA56" i="7"/>
  <c r="AC57" i="7"/>
  <c r="U56" i="7"/>
  <c r="Q57" i="7"/>
  <c r="O36" i="5"/>
  <c r="K38" i="5"/>
  <c r="AD36" i="4"/>
  <c r="AB37" i="4"/>
  <c r="AA36" i="4"/>
  <c r="U36" i="4"/>
  <c r="W36" i="4"/>
  <c r="AC36" i="4"/>
  <c r="Q37" i="4"/>
  <c r="R35" i="5"/>
  <c r="M58" i="6"/>
  <c r="M59" i="6" s="1"/>
  <c r="L59" i="6"/>
  <c r="AA16" i="5"/>
  <c r="R16" i="5"/>
  <c r="AE14" i="5"/>
  <c r="AF14" i="5" s="1"/>
  <c r="AC15" i="5"/>
  <c r="AF35" i="5"/>
  <c r="AG35" i="4"/>
  <c r="AH35" i="4" s="1"/>
  <c r="AD15" i="4"/>
  <c r="AF75" i="4"/>
  <c r="AG13" i="4"/>
  <c r="AH13" i="4" s="1"/>
  <c r="AE14" i="4"/>
  <c r="AG74" i="4"/>
  <c r="AA15" i="4"/>
  <c r="AB76" i="4" s="1"/>
  <c r="U15" i="4"/>
  <c r="V76" i="4" s="1"/>
  <c r="W15" i="4"/>
  <c r="X76" i="4" s="1"/>
  <c r="AC15" i="4"/>
  <c r="AD76" i="4" s="1"/>
  <c r="V16" i="4"/>
  <c r="AB16" i="4"/>
  <c r="R76" i="4"/>
  <c r="AE76" i="4" s="1"/>
  <c r="M17" i="4"/>
  <c r="Q16" i="4"/>
  <c r="N77" i="4"/>
  <c r="N78" i="4" s="1"/>
  <c r="U77" i="4"/>
  <c r="U78" i="4" s="1"/>
  <c r="AA77" i="4"/>
  <c r="AA78" i="4" s="1"/>
  <c r="P17" i="4"/>
  <c r="Q77" i="4"/>
  <c r="Q78" i="4" s="1"/>
  <c r="AH56" i="4"/>
  <c r="AC76" i="7" l="1"/>
  <c r="AC15" i="7"/>
  <c r="AD76" i="7" s="1"/>
  <c r="Z92" i="7"/>
  <c r="W76" i="7"/>
  <c r="W15" i="7"/>
  <c r="X76" i="7" s="1"/>
  <c r="AD15" i="7"/>
  <c r="AG75" i="7"/>
  <c r="AG13" i="7"/>
  <c r="AH13" i="7" s="1"/>
  <c r="AE14" i="7"/>
  <c r="AH74" i="7"/>
  <c r="AA15" i="7"/>
  <c r="AB76" i="7" s="1"/>
  <c r="AF76" i="7" s="1"/>
  <c r="U15" i="7"/>
  <c r="V76" i="7" s="1"/>
  <c r="V16" i="7"/>
  <c r="W16" i="7" s="1"/>
  <c r="AB16" i="7"/>
  <c r="AC16" i="7" s="1"/>
  <c r="R76" i="7"/>
  <c r="AE76" i="7" s="1"/>
  <c r="M17" i="7"/>
  <c r="Q16" i="7"/>
  <c r="U77" i="7"/>
  <c r="U78" i="7" s="1"/>
  <c r="N77" i="7"/>
  <c r="N78" i="7" s="1"/>
  <c r="AA77" i="7"/>
  <c r="AA78" i="7" s="1"/>
  <c r="P17" i="7"/>
  <c r="Q77" i="7"/>
  <c r="Q78" i="7" s="1"/>
  <c r="AG35" i="7"/>
  <c r="AH35" i="7" s="1"/>
  <c r="AE36" i="7"/>
  <c r="AG36" i="7" s="1"/>
  <c r="U37" i="7"/>
  <c r="Q39" i="7"/>
  <c r="AG55" i="7"/>
  <c r="AH55" i="7" s="1"/>
  <c r="AE56" i="7"/>
  <c r="AG56" i="7" s="1"/>
  <c r="U57" i="7"/>
  <c r="Q59" i="7"/>
  <c r="AC37" i="4"/>
  <c r="AE36" i="4"/>
  <c r="AG36" i="4" s="1"/>
  <c r="AH36" i="4" s="1"/>
  <c r="U37" i="4"/>
  <c r="Q39" i="4"/>
  <c r="R36" i="5"/>
  <c r="L60" i="6"/>
  <c r="AE15" i="5"/>
  <c r="AF15" i="5" s="1"/>
  <c r="AD16" i="4"/>
  <c r="AF77" i="4" s="1"/>
  <c r="AF76" i="4"/>
  <c r="AG14" i="4"/>
  <c r="AH14" i="4" s="1"/>
  <c r="AE15" i="4"/>
  <c r="AG75" i="4"/>
  <c r="V17" i="4"/>
  <c r="W17" i="4" s="1"/>
  <c r="W77" i="4"/>
  <c r="W78" i="4" s="1"/>
  <c r="AB17" i="4"/>
  <c r="AC77" i="4"/>
  <c r="AC78" i="4" s="1"/>
  <c r="AA16" i="4"/>
  <c r="AB77" i="4" s="1"/>
  <c r="U16" i="4"/>
  <c r="V77" i="4" s="1"/>
  <c r="W16" i="4"/>
  <c r="X77" i="4" s="1"/>
  <c r="X78" i="4" s="1"/>
  <c r="AC16" i="4"/>
  <c r="Q17" i="4"/>
  <c r="R77" i="4"/>
  <c r="AH36" i="7" l="1"/>
  <c r="AD16" i="7"/>
  <c r="AG77" i="7" s="1"/>
  <c r="AG76" i="7"/>
  <c r="AG14" i="7"/>
  <c r="AH14" i="7" s="1"/>
  <c r="AE15" i="7"/>
  <c r="AH75" i="7"/>
  <c r="V17" i="7"/>
  <c r="W17" i="7" s="1"/>
  <c r="W77" i="7"/>
  <c r="W78" i="7" s="1"/>
  <c r="AB17" i="7"/>
  <c r="AC77" i="7"/>
  <c r="AC78" i="7" s="1"/>
  <c r="AA16" i="7"/>
  <c r="AB77" i="7" s="1"/>
  <c r="AF77" i="7" s="1"/>
  <c r="AF78" i="7" s="1"/>
  <c r="U16" i="7"/>
  <c r="V77" i="7" s="1"/>
  <c r="X77" i="7"/>
  <c r="X78" i="7" s="1"/>
  <c r="Q17" i="7"/>
  <c r="R77" i="7"/>
  <c r="AE77" i="7" s="1"/>
  <c r="AH56" i="7"/>
  <c r="AF78" i="4"/>
  <c r="AG15" i="4"/>
  <c r="AH15" i="4" s="1"/>
  <c r="AE16" i="4"/>
  <c r="AG76" i="4"/>
  <c r="AC17" i="4"/>
  <c r="AD77" i="4"/>
  <c r="AD78" i="4" s="1"/>
  <c r="U17" i="4"/>
  <c r="Q19" i="4"/>
  <c r="AE77" i="4"/>
  <c r="AE78" i="4" s="1"/>
  <c r="R78" i="4"/>
  <c r="R80" i="4" s="1"/>
  <c r="AG15" i="7" l="1"/>
  <c r="AH15" i="7" s="1"/>
  <c r="AE16" i="7"/>
  <c r="AH76" i="7"/>
  <c r="AC17" i="7"/>
  <c r="AD77" i="7"/>
  <c r="AD78" i="7" s="1"/>
  <c r="U17" i="7"/>
  <c r="Q19" i="7"/>
  <c r="AE78" i="7"/>
  <c r="R78" i="7"/>
  <c r="R80" i="7" s="1"/>
  <c r="AG78" i="7"/>
  <c r="AG16" i="4"/>
  <c r="AH16" i="4" s="1"/>
  <c r="AG77" i="4"/>
  <c r="AG16" i="7" l="1"/>
  <c r="AH16" i="7" s="1"/>
  <c r="AH77" i="7"/>
  <c r="F44" i="5"/>
  <c r="F62" i="5"/>
  <c r="F74" i="5" s="1"/>
  <c r="F56" i="5"/>
  <c r="H56" i="5" s="1"/>
  <c r="H44" i="5" l="1"/>
  <c r="H62" i="5" s="1"/>
  <c r="H74" i="5" s="1"/>
  <c r="G44" i="5"/>
  <c r="J44" i="5" l="1"/>
  <c r="G45" i="5"/>
  <c r="G62" i="5"/>
  <c r="G46" i="5" l="1"/>
  <c r="G63" i="5"/>
  <c r="J45" i="5"/>
  <c r="J62" i="5"/>
  <c r="K44" i="5"/>
  <c r="J46" i="5" l="1"/>
  <c r="G47" i="5"/>
  <c r="G64" i="5"/>
  <c r="P45" i="5"/>
  <c r="Y45" i="5"/>
  <c r="S62" i="5"/>
  <c r="U62" i="5"/>
  <c r="K62" i="5"/>
  <c r="N62" i="5"/>
  <c r="J63" i="5"/>
  <c r="K45" i="5"/>
  <c r="K46" i="5" l="1"/>
  <c r="J64" i="5"/>
  <c r="G65" i="5"/>
  <c r="J47" i="5"/>
  <c r="G48" i="5"/>
  <c r="Q45" i="5"/>
  <c r="Q63" i="5" s="1"/>
  <c r="P63" i="5"/>
  <c r="AB45" i="5"/>
  <c r="Z45" i="5"/>
  <c r="W63" i="5"/>
  <c r="N63" i="5"/>
  <c r="S63" i="5"/>
  <c r="P46" i="5"/>
  <c r="V45" i="5"/>
  <c r="K63" i="5"/>
  <c r="U63" i="5"/>
  <c r="Y46" i="5"/>
  <c r="Y47" i="5" l="1"/>
  <c r="S64" i="5"/>
  <c r="U64" i="5"/>
  <c r="V46" i="5"/>
  <c r="P47" i="5"/>
  <c r="K64" i="5"/>
  <c r="N64" i="5"/>
  <c r="O46" i="5"/>
  <c r="J65" i="5"/>
  <c r="K47" i="5"/>
  <c r="G49" i="5"/>
  <c r="G66" i="5"/>
  <c r="J48" i="5"/>
  <c r="AB46" i="5"/>
  <c r="Z63" i="5"/>
  <c r="X63" i="5"/>
  <c r="AC45" i="5"/>
  <c r="P64" i="5"/>
  <c r="Q46" i="5"/>
  <c r="Q64" i="5" s="1"/>
  <c r="V63" i="5"/>
  <c r="AA45" i="5"/>
  <c r="Y63" i="5" s="1"/>
  <c r="W64" i="5"/>
  <c r="Z46" i="5"/>
  <c r="X64" i="5" s="1"/>
  <c r="W65" i="5" l="1"/>
  <c r="Z47" i="5"/>
  <c r="X65" i="5" s="1"/>
  <c r="K16" i="3" s="1" a="1"/>
  <c r="K16" i="3" s="1"/>
  <c r="V64" i="5"/>
  <c r="AA46" i="5"/>
  <c r="Y64" i="5" s="1"/>
  <c r="P65" i="5"/>
  <c r="Q47" i="5"/>
  <c r="Q65" i="5" s="1"/>
  <c r="R46" i="5"/>
  <c r="R64" i="5" s="1"/>
  <c r="O64" i="5"/>
  <c r="S65" i="5"/>
  <c r="O47" i="5"/>
  <c r="V47" i="5"/>
  <c r="Y48" i="5"/>
  <c r="U65" i="5"/>
  <c r="K65" i="5"/>
  <c r="N65" i="5"/>
  <c r="P48" i="5"/>
  <c r="G67" i="5"/>
  <c r="G50" i="5"/>
  <c r="J49" i="5"/>
  <c r="K48" i="5"/>
  <c r="J66" i="5"/>
  <c r="AB47" i="5"/>
  <c r="Z64" i="5"/>
  <c r="AA63" i="5"/>
  <c r="AE45" i="5"/>
  <c r="AF45" i="5" s="1"/>
  <c r="AC46" i="5"/>
  <c r="O65" i="5" l="1"/>
  <c r="R47" i="5"/>
  <c r="R65" i="5" s="1"/>
  <c r="AA47" i="5"/>
  <c r="Y65" i="5" s="1"/>
  <c r="K18" i="3" s="1" a="1"/>
  <c r="K18" i="3" s="1"/>
  <c r="V65" i="5"/>
  <c r="W66" i="5"/>
  <c r="Z48" i="5"/>
  <c r="X66" i="5" s="1"/>
  <c r="Q48" i="5"/>
  <c r="Q66" i="5" s="1"/>
  <c r="P66" i="5"/>
  <c r="J50" i="5"/>
  <c r="G51" i="5"/>
  <c r="G68" i="5"/>
  <c r="K49" i="5"/>
  <c r="J67" i="5"/>
  <c r="P49" i="5"/>
  <c r="N66" i="5"/>
  <c r="Y49" i="5"/>
  <c r="U66" i="5"/>
  <c r="V48" i="5"/>
  <c r="K66" i="5"/>
  <c r="S66" i="5"/>
  <c r="O48" i="5"/>
  <c r="Z65" i="5"/>
  <c r="AB48" i="5"/>
  <c r="AC47" i="5"/>
  <c r="AE46" i="5"/>
  <c r="AF46" i="5" s="1"/>
  <c r="AA64" i="5"/>
  <c r="K5" i="3" l="1"/>
  <c r="L16" i="3" a="1"/>
  <c r="L16" i="3" s="1"/>
  <c r="K50" i="5"/>
  <c r="J68" i="5"/>
  <c r="J51" i="5"/>
  <c r="G69" i="5"/>
  <c r="G52" i="5"/>
  <c r="O49" i="5"/>
  <c r="P50" i="5"/>
  <c r="K67" i="5"/>
  <c r="S67" i="5"/>
  <c r="U67" i="5"/>
  <c r="N67" i="5"/>
  <c r="V49" i="5"/>
  <c r="Y50" i="5"/>
  <c r="P67" i="5"/>
  <c r="Q49" i="5"/>
  <c r="Q67" i="5" s="1"/>
  <c r="W67" i="5"/>
  <c r="Z49" i="5"/>
  <c r="X67" i="5" s="1"/>
  <c r="AA48" i="5"/>
  <c r="Y66" i="5" s="1"/>
  <c r="L18" i="3" s="1" a="1"/>
  <c r="L18" i="3" s="1"/>
  <c r="V66" i="5"/>
  <c r="O66" i="5"/>
  <c r="R48" i="5"/>
  <c r="R66" i="5" s="1"/>
  <c r="AB49" i="5"/>
  <c r="Z66" i="5"/>
  <c r="AA65" i="5"/>
  <c r="AC48" i="5"/>
  <c r="AE47" i="5"/>
  <c r="AF47" i="5" s="1"/>
  <c r="L5" i="3" l="1"/>
  <c r="M143" i="3" s="1"/>
  <c r="M142" i="3" s="1"/>
  <c r="M86" i="3" s="1"/>
  <c r="K4" i="3"/>
  <c r="L143" i="3"/>
  <c r="L142" i="3" s="1"/>
  <c r="L86" i="3" s="1"/>
  <c r="J3" i="3"/>
  <c r="M16" i="3" a="1"/>
  <c r="M16" i="3" s="1"/>
  <c r="K68" i="5"/>
  <c r="V50" i="5"/>
  <c r="Y51" i="5"/>
  <c r="S68" i="5"/>
  <c r="P51" i="5"/>
  <c r="O50" i="5"/>
  <c r="N68" i="5"/>
  <c r="U68" i="5"/>
  <c r="K51" i="5"/>
  <c r="J69" i="5"/>
  <c r="G70" i="5"/>
  <c r="G53" i="5"/>
  <c r="J52" i="5"/>
  <c r="R49" i="5"/>
  <c r="R67" i="5" s="1"/>
  <c r="O67" i="5"/>
  <c r="P68" i="5"/>
  <c r="Q50" i="5"/>
  <c r="Q68" i="5" s="1"/>
  <c r="V67" i="5"/>
  <c r="AA49" i="5"/>
  <c r="Y67" i="5" s="1"/>
  <c r="W68" i="5"/>
  <c r="Z50" i="5"/>
  <c r="X68" i="5" s="1"/>
  <c r="N16" i="3" s="1" a="1"/>
  <c r="N16" i="3" s="1"/>
  <c r="AB50" i="5"/>
  <c r="Z67" i="5"/>
  <c r="AA66" i="5"/>
  <c r="AC49" i="5"/>
  <c r="AE48" i="5"/>
  <c r="AF48" i="5" s="1"/>
  <c r="L4" i="3" l="1"/>
  <c r="K3" i="3"/>
  <c r="K144" i="3"/>
  <c r="K164" i="3" s="1"/>
  <c r="K167" i="3" s="1"/>
  <c r="E15" i="2"/>
  <c r="K165" i="3"/>
  <c r="K166" i="3" s="1"/>
  <c r="E3" i="2"/>
  <c r="E5" i="2" s="1"/>
  <c r="F7" i="2"/>
  <c r="L25" i="3"/>
  <c r="M18" i="3" a="1"/>
  <c r="M18" i="3" s="1"/>
  <c r="M5" i="3" s="1"/>
  <c r="V68" i="5"/>
  <c r="AA50" i="5"/>
  <c r="Y68" i="5" s="1"/>
  <c r="N18" i="3" s="1" a="1"/>
  <c r="N18" i="3" s="1"/>
  <c r="N5" i="3" s="1"/>
  <c r="W69" i="5"/>
  <c r="Z51" i="5"/>
  <c r="X69" i="5" s="1"/>
  <c r="O16" i="3" s="1" a="1"/>
  <c r="O16" i="3" s="1"/>
  <c r="P69" i="5"/>
  <c r="Q51" i="5"/>
  <c r="Q69" i="5" s="1"/>
  <c r="R50" i="5"/>
  <c r="R68" i="5" s="1"/>
  <c r="O68" i="5"/>
  <c r="S69" i="5"/>
  <c r="N69" i="5"/>
  <c r="Y52" i="5"/>
  <c r="O51" i="5"/>
  <c r="V51" i="5"/>
  <c r="U69" i="5"/>
  <c r="P52" i="5"/>
  <c r="K69" i="5"/>
  <c r="G54" i="5"/>
  <c r="G71" i="5"/>
  <c r="J53" i="5"/>
  <c r="K52" i="5"/>
  <c r="J70" i="5"/>
  <c r="G7" i="2"/>
  <c r="M25" i="3"/>
  <c r="Z68" i="5"/>
  <c r="AB51" i="5"/>
  <c r="AA67" i="5"/>
  <c r="AE49" i="5"/>
  <c r="AF49" i="5" s="1"/>
  <c r="AC50" i="5"/>
  <c r="F3" i="2" l="1"/>
  <c r="F5" i="2" s="1"/>
  <c r="L165" i="3"/>
  <c r="L166" i="3" s="1"/>
  <c r="F15" i="2"/>
  <c r="L144" i="3"/>
  <c r="L164" i="3" s="1"/>
  <c r="E17" i="2"/>
  <c r="K168" i="3"/>
  <c r="L163" i="3"/>
  <c r="E8" i="2"/>
  <c r="E12" i="2"/>
  <c r="M4" i="3"/>
  <c r="G15" i="2" s="1"/>
  <c r="L3" i="3"/>
  <c r="N143" i="3"/>
  <c r="N142" i="3" s="1"/>
  <c r="N86" i="3" s="1"/>
  <c r="M3" i="3"/>
  <c r="O143" i="3"/>
  <c r="O142" i="3" s="1"/>
  <c r="O86" i="3" s="1"/>
  <c r="N4" i="3"/>
  <c r="Z52" i="5"/>
  <c r="X70" i="5" s="1"/>
  <c r="P16" i="3" s="1" a="1"/>
  <c r="P16" i="3" s="1"/>
  <c r="W70" i="5"/>
  <c r="O69" i="5"/>
  <c r="R51" i="5"/>
  <c r="R69" i="5" s="1"/>
  <c r="V69" i="5"/>
  <c r="AA51" i="5"/>
  <c r="Y69" i="5" s="1"/>
  <c r="O18" i="3" s="1" a="1"/>
  <c r="O18" i="3" s="1"/>
  <c r="O5" i="3" s="1"/>
  <c r="P70" i="5"/>
  <c r="Q52" i="5"/>
  <c r="Q70" i="5" s="1"/>
  <c r="J54" i="5"/>
  <c r="G72" i="5"/>
  <c r="G55" i="5"/>
  <c r="K53" i="5"/>
  <c r="J71" i="5"/>
  <c r="Y53" i="5"/>
  <c r="S70" i="5"/>
  <c r="N70" i="5"/>
  <c r="K70" i="5"/>
  <c r="U70" i="5"/>
  <c r="O52" i="5"/>
  <c r="P53" i="5"/>
  <c r="V52" i="5"/>
  <c r="AB52" i="5"/>
  <c r="Z69" i="5"/>
  <c r="AE50" i="5"/>
  <c r="AF50" i="5" s="1"/>
  <c r="AA68" i="5"/>
  <c r="AC51" i="5"/>
  <c r="L167" i="3" l="1"/>
  <c r="B16" i="2"/>
  <c r="E16" i="2"/>
  <c r="C16" i="2"/>
  <c r="D16" i="2"/>
  <c r="F8" i="2"/>
  <c r="F12" i="2"/>
  <c r="E11" i="2"/>
  <c r="E14" i="2" s="1"/>
  <c r="E13" i="2"/>
  <c r="M165" i="3"/>
  <c r="M166" i="3" s="1"/>
  <c r="M144" i="3"/>
  <c r="M164" i="3" s="1"/>
  <c r="G3" i="2"/>
  <c r="G5" i="2" s="1"/>
  <c r="H7" i="2"/>
  <c r="N25" i="3"/>
  <c r="I7" i="2"/>
  <c r="O25" i="3"/>
  <c r="H3" i="2"/>
  <c r="H5" i="2" s="1"/>
  <c r="N165" i="3"/>
  <c r="P143" i="3"/>
  <c r="P142" i="3" s="1"/>
  <c r="P86" i="3" s="1"/>
  <c r="N3" i="3"/>
  <c r="O4" i="3"/>
  <c r="K54" i="5"/>
  <c r="J72" i="5"/>
  <c r="J55" i="5"/>
  <c r="G73" i="5"/>
  <c r="G56" i="5"/>
  <c r="N71" i="5"/>
  <c r="O53" i="5"/>
  <c r="V53" i="5"/>
  <c r="S71" i="5"/>
  <c r="Y54" i="5"/>
  <c r="P54" i="5"/>
  <c r="K71" i="5"/>
  <c r="U71" i="5"/>
  <c r="W71" i="5"/>
  <c r="Z53" i="5"/>
  <c r="X71" i="5" s="1"/>
  <c r="Q16" i="3" s="1" a="1"/>
  <c r="Q16" i="3" s="1"/>
  <c r="O70" i="5"/>
  <c r="R52" i="5"/>
  <c r="R70" i="5" s="1"/>
  <c r="P71" i="5"/>
  <c r="Q53" i="5"/>
  <c r="Q71" i="5" s="1"/>
  <c r="V70" i="5"/>
  <c r="AA52" i="5"/>
  <c r="Y70" i="5" s="1"/>
  <c r="P18" i="3" s="1" a="1"/>
  <c r="P18" i="3" s="1"/>
  <c r="P5" i="3" s="1"/>
  <c r="Z70" i="5"/>
  <c r="AB53" i="5"/>
  <c r="AE51" i="5"/>
  <c r="AF51" i="5" s="1"/>
  <c r="AC52" i="5"/>
  <c r="AA69" i="5"/>
  <c r="F17" i="2" l="1"/>
  <c r="L168" i="3"/>
  <c r="F16" i="2"/>
  <c r="M163" i="3"/>
  <c r="M167" i="3" s="1"/>
  <c r="F13" i="2"/>
  <c r="F11" i="2"/>
  <c r="N166" i="3"/>
  <c r="G12" i="2"/>
  <c r="G8" i="2"/>
  <c r="N144" i="3"/>
  <c r="N164" i="3" s="1"/>
  <c r="H15" i="2"/>
  <c r="H8" i="2"/>
  <c r="H12" i="2"/>
  <c r="P25" i="3"/>
  <c r="J7" i="2"/>
  <c r="O144" i="3"/>
  <c r="O164" i="3" s="1"/>
  <c r="I3" i="2"/>
  <c r="I5" i="2" s="1"/>
  <c r="O165" i="3"/>
  <c r="O54" i="5"/>
  <c r="V54" i="5"/>
  <c r="P55" i="5"/>
  <c r="S72" i="5"/>
  <c r="U72" i="5"/>
  <c r="N72" i="5"/>
  <c r="K72" i="5"/>
  <c r="Y55" i="5"/>
  <c r="J56" i="5"/>
  <c r="K55" i="5"/>
  <c r="J73" i="5"/>
  <c r="R53" i="5"/>
  <c r="R71" i="5" s="1"/>
  <c r="O71" i="5"/>
  <c r="V71" i="5"/>
  <c r="AA53" i="5"/>
  <c r="Y71" i="5" s="1"/>
  <c r="Q18" i="3" s="1" a="1"/>
  <c r="Q18" i="3" s="1"/>
  <c r="Z54" i="5"/>
  <c r="X72" i="5" s="1"/>
  <c r="R16" i="3" s="1" a="1"/>
  <c r="R16" i="3" s="1"/>
  <c r="W72" i="5"/>
  <c r="P72" i="5"/>
  <c r="Q54" i="5"/>
  <c r="Q72" i="5" s="1"/>
  <c r="Z71" i="5"/>
  <c r="AB54" i="5"/>
  <c r="AE52" i="5"/>
  <c r="AF52" i="5" s="1"/>
  <c r="AA70" i="5"/>
  <c r="AC53" i="5"/>
  <c r="I15" i="2"/>
  <c r="Q143" i="3"/>
  <c r="Q142" i="3" s="1"/>
  <c r="Q86" i="3" s="1"/>
  <c r="P4" i="3"/>
  <c r="O3" i="3"/>
  <c r="F14" i="2" l="1"/>
  <c r="E18" i="2"/>
  <c r="O166" i="3"/>
  <c r="N163" i="3"/>
  <c r="N167" i="3" s="1"/>
  <c r="M168" i="3"/>
  <c r="G11" i="2"/>
  <c r="G13" i="2"/>
  <c r="H13" i="2"/>
  <c r="H11" i="2"/>
  <c r="I12" i="2"/>
  <c r="I8" i="2"/>
  <c r="O72" i="5"/>
  <c r="R54" i="5"/>
  <c r="V72" i="5"/>
  <c r="AA54" i="5"/>
  <c r="P73" i="5"/>
  <c r="Q55" i="5"/>
  <c r="Q73" i="5" s="1"/>
  <c r="P56" i="5"/>
  <c r="Q56" i="5" s="1"/>
  <c r="W73" i="5"/>
  <c r="Z55" i="5"/>
  <c r="Y56" i="5"/>
  <c r="U73" i="5"/>
  <c r="U74" i="5" s="1"/>
  <c r="K56" i="5"/>
  <c r="N73" i="5"/>
  <c r="N74" i="5" s="1"/>
  <c r="V55" i="5"/>
  <c r="K73" i="5"/>
  <c r="K74" i="5" s="1"/>
  <c r="K76" i="5" s="1"/>
  <c r="O55" i="5"/>
  <c r="S73" i="5"/>
  <c r="AB55" i="5"/>
  <c r="Z73" i="5" s="1"/>
  <c r="Z72" i="5"/>
  <c r="AA71" i="5"/>
  <c r="AC54" i="5"/>
  <c r="AE53" i="5"/>
  <c r="AF53" i="5" s="1"/>
  <c r="Q25" i="3"/>
  <c r="K7" i="2"/>
  <c r="J3" i="2"/>
  <c r="J5" i="2" s="1"/>
  <c r="P165" i="3"/>
  <c r="P144" i="3"/>
  <c r="P164" i="3" s="1"/>
  <c r="J15" i="2"/>
  <c r="Q5" i="3"/>
  <c r="P166" i="3" l="1"/>
  <c r="F18" i="2"/>
  <c r="G14" i="2"/>
  <c r="O163" i="3"/>
  <c r="O167" i="3" s="1"/>
  <c r="N168" i="3"/>
  <c r="H14" i="2"/>
  <c r="G18" i="2"/>
  <c r="I11" i="2"/>
  <c r="I13" i="2"/>
  <c r="X73" i="5"/>
  <c r="Z56" i="5"/>
  <c r="Z58" i="5" s="1"/>
  <c r="K58" i="5"/>
  <c r="O56" i="5"/>
  <c r="AA55" i="5"/>
  <c r="V73" i="5"/>
  <c r="V74" i="5" s="1"/>
  <c r="R55" i="5"/>
  <c r="O73" i="5"/>
  <c r="O74" i="5" s="1"/>
  <c r="S74" i="5"/>
  <c r="Q74" i="5"/>
  <c r="AA72" i="5"/>
  <c r="AC55" i="5"/>
  <c r="AE54" i="5"/>
  <c r="AF54" i="5" s="1"/>
  <c r="R72" i="5"/>
  <c r="Y72" i="5"/>
  <c r="J12" i="2"/>
  <c r="J8" i="2"/>
  <c r="R143" i="3"/>
  <c r="Q4" i="3"/>
  <c r="P3" i="3"/>
  <c r="S16" i="3" l="1" a="1"/>
  <c r="S16" i="3" s="1"/>
  <c r="T16" i="3" s="1"/>
  <c r="X74" i="5"/>
  <c r="AB76" i="5" s="1"/>
  <c r="P163" i="3"/>
  <c r="P167" i="3" s="1"/>
  <c r="O168" i="3"/>
  <c r="R73" i="5"/>
  <c r="R56" i="5"/>
  <c r="R18" i="3" a="1"/>
  <c r="R18" i="3" s="1"/>
  <c r="R5" i="3" s="1"/>
  <c r="I14" i="2"/>
  <c r="H18" i="2"/>
  <c r="AA73" i="5"/>
  <c r="W74" i="5" s="1"/>
  <c r="AE55" i="5"/>
  <c r="AF55" i="5" s="1"/>
  <c r="Y73" i="5"/>
  <c r="AA56" i="5"/>
  <c r="J13" i="2"/>
  <c r="J11" i="2"/>
  <c r="R142" i="3"/>
  <c r="K15" i="2"/>
  <c r="Q144" i="3"/>
  <c r="Q164" i="3" s="1"/>
  <c r="Q165" i="3"/>
  <c r="Q166" i="3" s="1"/>
  <c r="K3" i="2"/>
  <c r="K5" i="2" s="1"/>
  <c r="S18" i="3" l="1" a="1"/>
  <c r="S18" i="3" s="1"/>
  <c r="Y74" i="5"/>
  <c r="J14" i="2"/>
  <c r="I18" i="2"/>
  <c r="Q163" i="3"/>
  <c r="Q167" i="3" s="1"/>
  <c r="P168" i="3"/>
  <c r="R74" i="5"/>
  <c r="P74" i="5"/>
  <c r="Q3" i="3"/>
  <c r="R4" i="3"/>
  <c r="S143" i="3"/>
  <c r="R86" i="3"/>
  <c r="K8" i="2"/>
  <c r="K12" i="2"/>
  <c r="T18" i="3" l="1"/>
  <c r="S5" i="3"/>
  <c r="T5" i="3" s="1"/>
  <c r="R165" i="3"/>
  <c r="R166" i="3" s="1"/>
  <c r="L3" i="2"/>
  <c r="L5" i="2" s="1"/>
  <c r="L12" i="2" s="1"/>
  <c r="T143" i="3"/>
  <c r="S142" i="3"/>
  <c r="R163" i="3"/>
  <c r="Q168" i="3"/>
  <c r="L7" i="2"/>
  <c r="R25" i="3"/>
  <c r="K11" i="2"/>
  <c r="K13" i="2"/>
  <c r="S4" i="3" l="1"/>
  <c r="M3" i="2" s="1"/>
  <c r="M5" i="2" s="1"/>
  <c r="R3" i="3"/>
  <c r="S146" i="3" s="1"/>
  <c r="T142" i="3"/>
  <c r="S86" i="3"/>
  <c r="L8" i="2"/>
  <c r="R144" i="3"/>
  <c r="L15" i="2"/>
  <c r="J18" i="2"/>
  <c r="K14" i="2"/>
  <c r="S145" i="3" l="1"/>
  <c r="T145" i="3" s="1"/>
  <c r="T146" i="3"/>
  <c r="T4" i="3"/>
  <c r="S165" i="3"/>
  <c r="S166" i="3" s="1"/>
  <c r="L13" i="2"/>
  <c r="L11" i="2"/>
  <c r="T86" i="3"/>
  <c r="S25" i="3"/>
  <c r="M7" i="2"/>
  <c r="M8" i="2" s="1"/>
  <c r="M12" i="2"/>
  <c r="R164" i="3"/>
  <c r="R167" i="3" s="1"/>
  <c r="K18" i="2" l="1"/>
  <c r="L14" i="2"/>
  <c r="T25" i="3"/>
  <c r="S144" i="3"/>
  <c r="M15" i="2"/>
  <c r="M11" i="2"/>
  <c r="M13" i="2"/>
  <c r="R168" i="3"/>
  <c r="S163" i="3"/>
  <c r="T144" i="3" l="1"/>
  <c r="S164" i="3"/>
  <c r="S167" i="3" s="1"/>
  <c r="L18" i="2"/>
  <c r="M14" i="2"/>
  <c r="S168" i="3" l="1"/>
  <c r="S16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tc={764C905A-73DB-D148-9416-D9688579BF73}</author>
    <author>tc={DF7C6F2B-E35A-0640-A212-D13F91B08FF7}</author>
    <author>tc={5B1253FC-4785-4142-8C6A-EF2D32C1D534}</author>
    <author>tc={96A287E3-9A2F-5244-8960-F69DF0D0625A}</author>
  </authors>
  <commentList>
    <comment ref="K117" authorId="0" shapeId="0" xr:uid="{764C905A-73DB-D148-9416-D9688579BF73}">
      <text>
        <t>[Threaded comment]
Your version of Excel allows you to read this threaded comment; however, any edits to it will get removed if the file is opened in a newer version of Excel. Learn more: https://go.microsoft.com/fwlink/?linkid=870924
Comment:
    MUVDAY SP</t>
      </text>
    </comment>
    <comment ref="L117" authorId="1" shapeId="0" xr:uid="{DF7C6F2B-E35A-0640-A212-D13F91B08FF7}">
      <text>
        <t>[Threaded comment]
Your version of Excel allows you to read this threaded comment; however, any edits to it will get removed if the file is opened in a newer version of Excel. Learn more: https://go.microsoft.com/fwlink/?linkid=870924
Comment:
    MUVDAY SP</t>
      </text>
    </comment>
    <comment ref="J153" authorId="2" shapeId="0" xr:uid="{5B1253FC-4785-4142-8C6A-EF2D32C1D534}">
      <text>
        <t>[Threaded comment]
Your version of Excel allows you to read this threaded comment; however, any edits to it will get removed if the file is opened in a newer version of Excel. Learn more: https://go.microsoft.com/fwlink/?linkid=870924
Comment:
    1/24</t>
      </text>
    </comment>
    <comment ref="H163" authorId="3" shapeId="0" xr:uid="{96A287E3-9A2F-5244-8960-F69DF0D0625A}">
      <text>
        <t>[Threaded comment]
Your version of Excel allows you to read this threaded comment; however, any edits to it will get removed if the file is opened in a newer version of Excel. Learn more: https://go.microsoft.com/fwlink/?linkid=870924
Comment:
    Ajustado manualmente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tc={4EB6DD4F-3FC9-9F4A-9797-01597D8C828A}</author>
    <author>tc={8CAF7024-840F-674A-AC73-19BF8541369C}</author>
    <author>tc={3EFB69A9-EC00-B743-9672-4F049C058C6C}</author>
    <author>tc={59CE0AB0-E66F-A140-A3E5-73F1BD365A18}</author>
    <author>tc={59E5FCE1-9CD3-A549-B8E7-4ED2BB2CEC3C}</author>
    <author>tc={1711FCA7-9043-4F46-A19A-206BD1BFF9D7}</author>
    <author>tc={728ABF09-EF1E-5242-9C41-6D6B7AA64DC9}</author>
    <author>tc={0270F249-0656-F841-9E84-D33CC9403A94}</author>
    <author>tc={30EB2DF9-3547-944A-AE09-FAB634000FD7}</author>
    <author>tc={B23039AF-0628-8044-83C9-AEFD5435AE2E}</author>
    <author>tc={C261DDAB-C7B4-464E-9CA5-13B126190C79}</author>
    <author>tc={B086211F-B17E-0645-82A3-8340292480A8}</author>
    <author>tc={C75066CB-0DB1-5547-8F98-DF976FD4C9BF}</author>
    <author>tc={7F241E42-69CB-EA4C-B20C-5FD470D64B72}</author>
    <author>tc={6A0734A0-C41F-BC4A-901A-940032E19B18}</author>
    <author>tc={B30C3FDD-F5F9-6B4F-81B6-9594F0BE0D4F}</author>
    <author>tc={A983DE6E-36F1-5F4C-9857-0F8FBCA4FA4F}</author>
    <author>tc={BB147885-138A-BD49-8552-843A85F4D481}</author>
    <author>tc={786C1060-5C03-D248-B5C8-12353545F1DE}</author>
    <author>tc={CB6C091D-C938-D748-8EDF-8670B25EB47A}</author>
  </authors>
  <commentList>
    <comment ref="N3" authorId="0" shapeId="0" xr:uid="{4EB6DD4F-3FC9-9F4A-9797-01597D8C828A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5" authorId="1" shapeId="0" xr:uid="{8CAF7024-840F-674A-AC73-19BF8541369C}">
      <text>
        <t>[Threaded comment]
Your version of Excel allows you to read this threaded comment; however, any edits to it will get removed if the file is opened in a newer version of Excel. Learn more: https://go.microsoft.com/fwlink/?linkid=870924
Comment:
    Diminuição de 2% ao mês</t>
      </text>
    </comment>
    <comment ref="N23" authorId="2" shapeId="0" xr:uid="{3EFB69A9-EC00-B743-9672-4F049C058C6C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4" authorId="3" shapeId="0" xr:uid="{59CE0AB0-E66F-A140-A3E5-73F1BD365A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5" authorId="4" shapeId="0" xr:uid="{59E5FCE1-9CD3-A549-B8E7-4ED2BB2CEC3C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6" authorId="5" shapeId="0" xr:uid="{1711FCA7-9043-4F46-A19A-206BD1BFF9D7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7" authorId="6" shapeId="0" xr:uid="{728ABF09-EF1E-5242-9C41-6D6B7AA64DC9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8" authorId="7" shapeId="0" xr:uid="{0270F249-0656-F841-9E84-D33CC9403A94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9" authorId="8" shapeId="0" xr:uid="{30EB2DF9-3547-944A-AE09-FAB634000FD7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0" authorId="9" shapeId="0" xr:uid="{B23039AF-0628-8044-83C9-AEFD5435AE2E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1" authorId="10" shapeId="0" xr:uid="{C261DDAB-C7B4-464E-9CA5-13B126190C79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2" authorId="11" shapeId="0" xr:uid="{B086211F-B17E-0645-82A3-8340292480A8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3" authorId="12" shapeId="0" xr:uid="{C75066CB-0DB1-5547-8F98-DF976FD4C9BF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4" authorId="13" shapeId="0" xr:uid="{7F241E42-69CB-EA4C-B20C-5FD470D64B72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5" authorId="14" shapeId="0" xr:uid="{6A0734A0-C41F-BC4A-901A-940032E19B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6" authorId="15" shapeId="0" xr:uid="{B30C3FDD-F5F9-6B4F-81B6-9594F0BE0D4F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43" authorId="16" shapeId="0" xr:uid="{A983DE6E-36F1-5F4C-9857-0F8FBCA4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45" authorId="17" shapeId="0" xr:uid="{BB147885-138A-BD49-8552-843A85F4D481}">
      <text>
        <t>[Threaded comment]
Your version of Excel allows you to read this threaded comment; however, any edits to it will get removed if the file is opened in a newer version of Excel. Learn more: https://go.microsoft.com/fwlink/?linkid=870924
Comment:
    Diminuição de 2% ao mês</t>
      </text>
    </comment>
    <comment ref="B68" authorId="18" shapeId="0" xr:uid="{786C1060-5C03-D248-B5C8-12353545F1DE}">
      <text>
        <t>[Threaded comment]
Your version of Excel allows you to read this threaded comment; however, any edits to it will get removed if the file is opened in a newer version of Excel. Learn more: https://go.microsoft.com/fwlink/?linkid=870924
Comment:
    Evento SP + Nacional</t>
      </text>
    </comment>
    <comment ref="B69" authorId="19" shapeId="0" xr:uid="{CB6C091D-C938-D748-8EDF-8670B25EB47A}">
      <text>
        <t>[Threaded comment]
Your version of Excel allows you to read this threaded comment; however, any edits to it will get removed if the file is opened in a newer version of Excel. Learn more: https://go.microsoft.com/fwlink/?linkid=870924
Comment:
    Evento SP + Nacional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tc={F95809B6-E0C9-9249-A18D-676AEFA311E0}</author>
    <author>tc={C3689D08-4EF6-3844-8A43-804EF871597D}</author>
    <author>tc={D4667132-3DF9-2947-8FDC-93C00EAAA630}</author>
    <author>tc={59A539A5-EDAB-424C-ACE6-E909A35912B7}</author>
    <author>tc={3426CC31-1377-5A47-A1E8-99BAEBFDAA00}</author>
    <author>tc={61B54FB4-F4A6-3947-B045-83F92C3FA2C6}</author>
    <author>tc={3C710F1E-D322-5A42-B43A-D65461718FD2}</author>
    <author>tc={89FE01A0-59AC-444C-A8C8-6ACC99CE0736}</author>
    <author>tc={45158F5D-01DE-2945-9659-EC46C2B57462}</author>
    <author>tc={C42FCE29-77D0-3A4F-AE55-D8DE4909DD81}</author>
    <author>tc={4EABB5F5-DE46-9A4D-99D8-22034DA00D33}</author>
    <author>tc={47D8F463-12DD-C14D-9CC4-BA4EBC95C165}</author>
    <author>tc={EBAC433E-9684-F043-BBEB-2739326B27E0}</author>
    <author>tc={AA60676E-727F-4245-AB70-6029B59C5ECC}</author>
    <author>tc={FC00980C-04EC-1B46-A89D-D34838B3ED04}</author>
    <author>tc={9258E8CB-AD74-9845-AB90-37579DD7C277}</author>
    <author>tc={0F404B6E-83DD-EB4E-A692-0A63576B4C1E}</author>
    <author>tc={0FC90C43-250B-DC46-8D52-B570654CE1F8}</author>
    <author>tc={B4E5936F-13B1-2E48-9AE4-4ADD8CA38F00}</author>
    <author>tc={F06609FD-16AC-D340-88CD-F4B442033170}</author>
  </authors>
  <commentList>
    <comment ref="N3" authorId="0" shapeId="0" xr:uid="{F95809B6-E0C9-9249-A18D-676AEFA311E0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5" authorId="1" shapeId="0" xr:uid="{C3689D08-4EF6-3844-8A43-804EF871597D}">
      <text>
        <t>[Threaded comment]
Your version of Excel allows you to read this threaded comment; however, any edits to it will get removed if the file is opened in a newer version of Excel. Learn more: https://go.microsoft.com/fwlink/?linkid=870924
Comment:
    Diminuição de 2% ao mês</t>
      </text>
    </comment>
    <comment ref="N23" authorId="2" shapeId="0" xr:uid="{D4667132-3DF9-2947-8FDC-93C00EAAA630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4" authorId="3" shapeId="0" xr:uid="{59A539A5-EDAB-424C-ACE6-E909A35912B7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5" authorId="4" shapeId="0" xr:uid="{3426CC31-1377-5A47-A1E8-99BAEBFDAA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6" authorId="5" shapeId="0" xr:uid="{61B54FB4-F4A6-3947-B045-83F92C3FA2C6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7" authorId="6" shapeId="0" xr:uid="{3C710F1E-D322-5A42-B43A-D65461718FD2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8" authorId="7" shapeId="0" xr:uid="{89FE01A0-59AC-444C-A8C8-6ACC99CE0736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29" authorId="8" shapeId="0" xr:uid="{45158F5D-01DE-2945-9659-EC46C2B57462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0" authorId="9" shapeId="0" xr:uid="{C42FCE29-77D0-3A4F-AE55-D8DE4909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1" authorId="10" shapeId="0" xr:uid="{4EABB5F5-DE46-9A4D-99D8-22034DA00D33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2" authorId="11" shapeId="0" xr:uid="{47D8F463-12DD-C14D-9CC4-BA4EBC95C165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3" authorId="12" shapeId="0" xr:uid="{EBAC433E-9684-F043-BBEB-2739326B27E0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4" authorId="13" shapeId="0" xr:uid="{AA60676E-727F-4245-AB70-6029B59C5ECC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5" authorId="14" shapeId="0" xr:uid="{FC00980C-04EC-1B46-A89D-D34838B3ED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36" authorId="15" shapeId="0" xr:uid="{9258E8CB-AD74-9845-AB90-37579DD7C277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43" authorId="16" shapeId="0" xr:uid="{0F404B6E-83DD-EB4E-A692-0A63576B4C1E}">
      <text>
        <t>[Threaded comment]
Your version of Excel allows you to read this threaded comment; however, any edits to it will get removed if the file is opened in a newer version of Excel. Learn more: https://go.microsoft.com/fwlink/?linkid=870924
Comment:
    CAC de lançamento</t>
      </text>
    </comment>
    <comment ref="N45" authorId="17" shapeId="0" xr:uid="{0FC90C43-250B-DC46-8D52-B570654C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Diminuição de 2% ao mês</t>
      </text>
    </comment>
    <comment ref="B68" authorId="18" shapeId="0" xr:uid="{B4E5936F-13B1-2E48-9AE4-4ADD8CA38F00}">
      <text>
        <t>[Threaded comment]
Your version of Excel allows you to read this threaded comment; however, any edits to it will get removed if the file is opened in a newer version of Excel. Learn more: https://go.microsoft.com/fwlink/?linkid=870924
Comment:
    Evento SP + Nacional</t>
      </text>
    </comment>
    <comment ref="B69" authorId="19" shapeId="0" xr:uid="{F06609FD-16AC-D340-88CD-F4B442033170}">
      <text>
        <t>[Threaded comment]
Your version of Excel allows you to read this threaded comment; however, any edits to it will get removed if the file is opened in a newer version of Excel. Learn more: https://go.microsoft.com/fwlink/?linkid=870924
Comment:
    Evento SP + Nacional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<sst xmlns="http://schemas.openxmlformats.org/spreadsheetml/2006/main" count="767" uniqueCount="327">
  <si>
    <t>Premissa</t>
  </si>
  <si>
    <t>Valor</t>
  </si>
  <si>
    <t>Crescimento mensal receita (%)</t>
  </si>
  <si>
    <t>Ticket médio MUVX</t>
  </si>
  <si>
    <t>Qtd trainers ativos</t>
  </si>
  <si>
    <t>Alunos por trainer</t>
  </si>
  <si>
    <t>% Comissão média</t>
  </si>
  <si>
    <t>Custos fixos mensais</t>
  </si>
  <si>
    <t>Despesas variáveis (% receita)</t>
  </si>
  <si>
    <t>Incluir projeções de vendas</t>
  </si>
  <si>
    <t>TRAÇÃO</t>
  </si>
  <si>
    <t>ESCALA</t>
  </si>
  <si>
    <t>Categoria</t>
  </si>
  <si>
    <t>Jan/26</t>
  </si>
  <si>
    <t>Feb/26</t>
  </si>
  <si>
    <t>Mar/26</t>
  </si>
  <si>
    <t>Apr/26</t>
  </si>
  <si>
    <t>May/26</t>
  </si>
  <si>
    <t>Jun/26</t>
  </si>
  <si>
    <t>Jul/26</t>
  </si>
  <si>
    <t>Aug/26</t>
  </si>
  <si>
    <t>Sep/26</t>
  </si>
  <si>
    <t>Oct/26</t>
  </si>
  <si>
    <t>Nov/26</t>
  </si>
  <si>
    <t>Dec/26</t>
  </si>
  <si>
    <t>Receita Operacional</t>
  </si>
  <si>
    <t>COGS</t>
  </si>
  <si>
    <t>Resultado Bruto</t>
  </si>
  <si>
    <t>Custos Fixos</t>
  </si>
  <si>
    <t>Despesas Variáveis</t>
  </si>
  <si>
    <t>Resultado Operacional</t>
  </si>
  <si>
    <t>Depreciação</t>
  </si>
  <si>
    <t>Amortização</t>
  </si>
  <si>
    <t>EBITDA</t>
  </si>
  <si>
    <t>Margem Bruta</t>
  </si>
  <si>
    <t>Margem Operacional</t>
  </si>
  <si>
    <t>Margem EBITDA</t>
  </si>
  <si>
    <t>Burn Rate (Operacional)</t>
  </si>
  <si>
    <t>Runway (Médio)</t>
  </si>
  <si>
    <t>N/A</t>
  </si>
  <si>
    <t>Runway (Mensal)</t>
  </si>
  <si>
    <t>Tx Crescimento</t>
  </si>
  <si>
    <t>PROJETO</t>
  </si>
  <si>
    <t>GO-LIVE E HYPERCARE</t>
  </si>
  <si>
    <t>PRÉ-ESCALA</t>
  </si>
  <si>
    <t>Total Anual (2026)</t>
  </si>
  <si>
    <t>Valuation Estimado (ARR-Based)</t>
  </si>
  <si>
    <t>Entradas Operacionais</t>
  </si>
  <si>
    <t>Receita Recorrente / Transacional</t>
  </si>
  <si>
    <t>Receita MUVX % - Estimado</t>
  </si>
  <si>
    <t>Receita MUVX % - Realizado</t>
  </si>
  <si>
    <t>Receita MUVX Premium - Estimado</t>
  </si>
  <si>
    <t>Receita MUVX Premium - Realizado</t>
  </si>
  <si>
    <t>Receita MUVX (Alunos) Fee - Estimado</t>
  </si>
  <si>
    <t>Receita MUVX (Alunos) Fee  - Realizado</t>
  </si>
  <si>
    <t>Receita Embaixadores - Estimado</t>
  </si>
  <si>
    <t>Receita Embaixadores - Realizado</t>
  </si>
  <si>
    <t>Receita Influencer - Estimado</t>
  </si>
  <si>
    <t>Receita Influencer - Realizado</t>
  </si>
  <si>
    <t>Receita MUVX Digital % - Estimado</t>
  </si>
  <si>
    <t>Receita MUVX Digital % - Realizado</t>
  </si>
  <si>
    <t>Receita MUVX Digital (Alunos) Fee - Estimado</t>
  </si>
  <si>
    <t>Receita MUVX Digital (Alunos) Fee - Realizado</t>
  </si>
  <si>
    <t>Receita Não Recorrente</t>
  </si>
  <si>
    <t>Patrocínio Eventos - Estimado</t>
  </si>
  <si>
    <t>Patrocínio Eventos - Realizado</t>
  </si>
  <si>
    <t>Receita Eventos - Estimado</t>
  </si>
  <si>
    <t>Receita Eventos - Realizado</t>
  </si>
  <si>
    <t>Saídas Operacionais</t>
  </si>
  <si>
    <t>Custos Fixos Operacionais</t>
  </si>
  <si>
    <t>Custos com pessoal</t>
  </si>
  <si>
    <t>Gympass/Wellhub</t>
  </si>
  <si>
    <t>Salários</t>
  </si>
  <si>
    <t>Salário CEO</t>
  </si>
  <si>
    <t>Gerar (estágio)</t>
  </si>
  <si>
    <t>Férias</t>
  </si>
  <si>
    <t>Ajuda de Custo Presencial</t>
  </si>
  <si>
    <t>Infraestrutura</t>
  </si>
  <si>
    <t>Escritorio</t>
  </si>
  <si>
    <t>Base Executiva SP</t>
  </si>
  <si>
    <t>Software + Equipamentos</t>
  </si>
  <si>
    <t>Office365</t>
  </si>
  <si>
    <t>Equipamentos</t>
  </si>
  <si>
    <t>Equipamentos - Transferência de Ativos</t>
  </si>
  <si>
    <t> </t>
  </si>
  <si>
    <t>Atlassian</t>
  </si>
  <si>
    <t>Bitbucket</t>
  </si>
  <si>
    <t>Figma</t>
  </si>
  <si>
    <t>Sendmail</t>
  </si>
  <si>
    <t>Adobe</t>
  </si>
  <si>
    <t>Zendesk</t>
  </si>
  <si>
    <t>Active Campaing</t>
  </si>
  <si>
    <t>Asana</t>
  </si>
  <si>
    <t>Canva</t>
  </si>
  <si>
    <t>CapCut</t>
  </si>
  <si>
    <t>Typeform</t>
  </si>
  <si>
    <t>Manychat</t>
  </si>
  <si>
    <t>Lovable</t>
  </si>
  <si>
    <t>Supabase</t>
  </si>
  <si>
    <t>ChatGPT</t>
  </si>
  <si>
    <t>Clicksign</t>
  </si>
  <si>
    <t>Hostinger</t>
  </si>
  <si>
    <t>Brazu</t>
  </si>
  <si>
    <t>Framer</t>
  </si>
  <si>
    <t>AWS</t>
  </si>
  <si>
    <t>Railway</t>
  </si>
  <si>
    <t>HubSpot</t>
  </si>
  <si>
    <t>Freepik</t>
  </si>
  <si>
    <t>Curseduca</t>
  </si>
  <si>
    <t>Browserstack</t>
  </si>
  <si>
    <t>Zoom</t>
  </si>
  <si>
    <t>Claude</t>
  </si>
  <si>
    <t>Serviços de terceiros</t>
  </si>
  <si>
    <t>Jurídico</t>
  </si>
  <si>
    <t>Contabilidade</t>
  </si>
  <si>
    <t>Trafego - Ramon</t>
  </si>
  <si>
    <t>Consultoria - Matheus</t>
  </si>
  <si>
    <t>Filmmaker</t>
  </si>
  <si>
    <t>BPO - BeOrange</t>
  </si>
  <si>
    <t>Criadora de Conteúdo</t>
  </si>
  <si>
    <t>Custos Variáveis Diretos (COGS)</t>
  </si>
  <si>
    <t>Comissões</t>
  </si>
  <si>
    <t>Comissões Embaixadores - Estimado</t>
  </si>
  <si>
    <t>Comissões Embaixadores - Realizado</t>
  </si>
  <si>
    <t>Comissões Agencia Parça - Estimado</t>
  </si>
  <si>
    <t>Comissões Agencia Parça - Realizado</t>
  </si>
  <si>
    <t>Comissões Influenciadores - Estimado</t>
  </si>
  <si>
    <t>Comissões Influenciadores - Realizado</t>
  </si>
  <si>
    <t>Infraestrutura AWS</t>
  </si>
  <si>
    <t>Despesas Operacionais Variáveis</t>
  </si>
  <si>
    <t>Marketing e Growth</t>
  </si>
  <si>
    <t>Influenciadores</t>
  </si>
  <si>
    <t>Patrocinio de Eventos</t>
  </si>
  <si>
    <t>Trafego</t>
  </si>
  <si>
    <t>Investimento MUVX Digital (Influencia e Trafego)</t>
  </si>
  <si>
    <t>Gestão Mkt Influencia</t>
  </si>
  <si>
    <t>Embaixadores chaves</t>
  </si>
  <si>
    <t>Identidade Visual/Marca/Branding</t>
  </si>
  <si>
    <t>Pessoas e Recrutamento</t>
  </si>
  <si>
    <t>Treinamento MKT</t>
  </si>
  <si>
    <t>LinkedIn | Vagas</t>
  </si>
  <si>
    <t>Eventos/Treinamentos Equipe</t>
  </si>
  <si>
    <t>Operacional e Geral</t>
  </si>
  <si>
    <t>Press Kit</t>
  </si>
  <si>
    <t>Aquisições pontuais</t>
  </si>
  <si>
    <t>Passagens Aéreas</t>
  </si>
  <si>
    <t>Hospedagens</t>
  </si>
  <si>
    <t>Certificado digital</t>
  </si>
  <si>
    <t xml:space="preserve">Móveis + Café nova sala </t>
  </si>
  <si>
    <t>Uber empresa</t>
  </si>
  <si>
    <t>Recarga | Celulares</t>
  </si>
  <si>
    <t>Club iFood</t>
  </si>
  <si>
    <t>Gravação - Garrafa MUVX</t>
  </si>
  <si>
    <t>Qrcode</t>
  </si>
  <si>
    <t>Conta simples</t>
  </si>
  <si>
    <t>Business Book</t>
  </si>
  <si>
    <t>Diária gravação | Academia/estacionamento</t>
  </si>
  <si>
    <t>Testes APP</t>
  </si>
  <si>
    <t>INPI</t>
  </si>
  <si>
    <t>Eventos</t>
  </si>
  <si>
    <t>Evento MUVDAY | Local</t>
  </si>
  <si>
    <t>Evento MUVDAY | Backdrop + Lona + Wind flag</t>
  </si>
  <si>
    <t>Evento MUVDAY | Letreiro</t>
  </si>
  <si>
    <t>Evento MUVDAY | Decoração de mesa</t>
  </si>
  <si>
    <t>Evento MUVDAY | Balões</t>
  </si>
  <si>
    <t>Evento MUVDAY | Sacolinhas</t>
  </si>
  <si>
    <t>Evento MUVDAY | Transmissão</t>
  </si>
  <si>
    <t>Evento MUVDAY | Fotográfo</t>
  </si>
  <si>
    <t>Evento MUVDAY | Memzo AI</t>
  </si>
  <si>
    <t>Evento MUVDAY | Cards Leo</t>
  </si>
  <si>
    <t>Evento MUVDAY | Motorista Twin</t>
  </si>
  <si>
    <t>Evento MUVDAY | Maquiagem</t>
  </si>
  <si>
    <t xml:space="preserve">Evento MUVDAY | Hotel - Presentes </t>
  </si>
  <si>
    <t>Evento MUVDAY | DJ</t>
  </si>
  <si>
    <t>Evento MUVDAY | Gerador</t>
  </si>
  <si>
    <t>Evento MUVDAY | Convites</t>
  </si>
  <si>
    <t>Evento MUVDAY | Botton</t>
  </si>
  <si>
    <t>Evento Embaixador | Convites</t>
  </si>
  <si>
    <t>Evento Embaixador | Café</t>
  </si>
  <si>
    <t>Evento Embaixador | Entrega de convites</t>
  </si>
  <si>
    <t>Evento Embaixador | Perfumes</t>
  </si>
  <si>
    <t>Passagens palestrantes</t>
  </si>
  <si>
    <t>Hospedagem palestrantes</t>
  </si>
  <si>
    <t>Garrafas | Adicional</t>
  </si>
  <si>
    <t>Strap | Adicional</t>
  </si>
  <si>
    <t>Impostos Sobre Faturamento</t>
  </si>
  <si>
    <t>Impostos a Pagar</t>
  </si>
  <si>
    <t>Geração Caixa Operacional</t>
  </si>
  <si>
    <t>Capital / Empréstimos</t>
  </si>
  <si>
    <t>Integralização Capital Social</t>
  </si>
  <si>
    <t>Empréstimo Sócio - Leonardo</t>
  </si>
  <si>
    <t>Empréstimo Bancário</t>
  </si>
  <si>
    <t>Reembolsos a receber - ASSUMTEK</t>
  </si>
  <si>
    <t xml:space="preserve">Rendimentos </t>
  </si>
  <si>
    <t>Saídas Financeiras</t>
  </si>
  <si>
    <t>Pagamento Empréstimo Sócio Capital Próprio</t>
  </si>
  <si>
    <t>Pagamento Empréstimo Sócio Capital Terceiros</t>
  </si>
  <si>
    <t>Conta Simples</t>
  </si>
  <si>
    <t xml:space="preserve">Tarifas bancárias </t>
  </si>
  <si>
    <t>IOF</t>
  </si>
  <si>
    <t>Atrasos + Multas + Juros da conta</t>
  </si>
  <si>
    <t>Ajustes de Caixa / Reembolsos</t>
  </si>
  <si>
    <t>Reembolso - ASSUMTEK Group</t>
  </si>
  <si>
    <t xml:space="preserve">Reembolso - Cartão Leonardo </t>
  </si>
  <si>
    <t>Reembolso - Colaboradores</t>
  </si>
  <si>
    <t>Consolidação de Resultados</t>
  </si>
  <si>
    <t>Saldo Inicial</t>
  </si>
  <si>
    <t>Caixa Líquido do Mês</t>
  </si>
  <si>
    <t>Reserva / Provisão de Caixa</t>
  </si>
  <si>
    <t>Saldo Reserva</t>
  </si>
  <si>
    <t>Saldo Final Acumulado (+ Reserva Acumulada)</t>
  </si>
  <si>
    <t>Caixa Disponível Ajustado (- Reserva Mensal)</t>
  </si>
  <si>
    <t>Distribuição de Lucros</t>
  </si>
  <si>
    <t>Top</t>
  </si>
  <si>
    <t>Install</t>
  </si>
  <si>
    <t>Ativação</t>
  </si>
  <si>
    <t>Conversão</t>
  </si>
  <si>
    <t>Cenário sem perdas operacionais</t>
  </si>
  <si>
    <t>Cenário com perdas operacionais</t>
  </si>
  <si>
    <t>Mês</t>
  </si>
  <si>
    <r>
      <t>Investimento no Mês
 (Growth) //</t>
    </r>
    <r>
      <rPr>
        <b/>
        <sz val="11"/>
        <color rgb="FFFF0000"/>
        <rFont val="Calibri (Body)"/>
      </rPr>
      <t xml:space="preserve"> 5%</t>
    </r>
  </si>
  <si>
    <t>CPL - Tráfego
(cadastro)</t>
  </si>
  <si>
    <t>Novos Cadastros 
LP</t>
  </si>
  <si>
    <t>Tx. % Install</t>
  </si>
  <si>
    <t>Novos Installs no App</t>
  </si>
  <si>
    <t>Tx % Ativações</t>
  </si>
  <si>
    <t>Novos Personais Habilitados</t>
  </si>
  <si>
    <t>Tx % de Conversão</t>
  </si>
  <si>
    <t>Cadastros Evento Presencial</t>
  </si>
  <si>
    <t>Tx % Ativação Presencial</t>
  </si>
  <si>
    <t>Novos Personais Ativados</t>
  </si>
  <si>
    <t>Personais 
Totais</t>
  </si>
  <si>
    <t>CAC 
(ativação)</t>
  </si>
  <si>
    <t>Tx. % Churn</t>
  </si>
  <si>
    <t>Qtde. Churn 
no Mês</t>
  </si>
  <si>
    <t>Personais 
Ativos Mês</t>
  </si>
  <si>
    <t>Média Alunos Estimada 
Total Personal</t>
  </si>
  <si>
    <t>Ticket Médio Aluno Personal</t>
  </si>
  <si>
    <t>Média Faturamento
Estimada Personal</t>
  </si>
  <si>
    <t>Total Usuários Estimado</t>
  </si>
  <si>
    <t>Faturamento Estimado</t>
  </si>
  <si>
    <t>Receita MUVX Estimada 
(2%)</t>
  </si>
  <si>
    <t>Média Real Alunos 
Ativos Personal</t>
  </si>
  <si>
    <t>Tx. % Real Alunos 
não ativados</t>
  </si>
  <si>
    <t>Média Real por Personal</t>
  </si>
  <si>
    <t xml:space="preserve">Total Real 
Usuários </t>
  </si>
  <si>
    <t>Faturamento 
Real Bruto</t>
  </si>
  <si>
    <t>Receita MUVX 
(2%)</t>
  </si>
  <si>
    <t>Faturamento Real Acumulado</t>
  </si>
  <si>
    <t>Receita MUVX Acumulada</t>
  </si>
  <si>
    <t>Investimento Acumulado</t>
  </si>
  <si>
    <t>ROI</t>
  </si>
  <si>
    <t>ROI Acumulado</t>
  </si>
  <si>
    <t>% sob TAM Nacional</t>
  </si>
  <si>
    <r>
      <t>Investimento no Mês 
(Growth) //</t>
    </r>
    <r>
      <rPr>
        <b/>
        <sz val="11"/>
        <color rgb="FFFF0000"/>
        <rFont val="Calibri (Body)"/>
      </rPr>
      <t xml:space="preserve"> 15%</t>
    </r>
  </si>
  <si>
    <t>CPL 
(cadastro)</t>
  </si>
  <si>
    <r>
      <t>Investimento no Mês
 (Growth) //</t>
    </r>
    <r>
      <rPr>
        <b/>
        <sz val="11"/>
        <color rgb="FFFF0000"/>
        <rFont val="Calibri (Body)"/>
      </rPr>
      <t xml:space="preserve"> 80%</t>
    </r>
  </si>
  <si>
    <t>Install/Cadastro</t>
  </si>
  <si>
    <t>Investimento no Mês 
Total (Growth - Tráfego)</t>
  </si>
  <si>
    <t>Tx % Conversão 
Geral</t>
  </si>
  <si>
    <t>Média Ponderada
Estimada Personal</t>
  </si>
  <si>
    <t>Média Ponderada Real por Personal</t>
  </si>
  <si>
    <t>Receita MUVX Premium (R$189,90)</t>
  </si>
  <si>
    <t>Receita MUVX 
(Tarifa Alunos R$3,99)</t>
  </si>
  <si>
    <r>
      <t xml:space="preserve">Investimento no Mês (Growth </t>
    </r>
    <r>
      <rPr>
        <b/>
        <sz val="11"/>
        <color rgb="FFFF0000"/>
        <rFont val="Calibri (Body)"/>
      </rPr>
      <t>** 40%**</t>
    </r>
  </si>
  <si>
    <t>Novos Cadastros 
no App Personal</t>
  </si>
  <si>
    <t>Tx. % Ativação Personais (Conversão)</t>
  </si>
  <si>
    <t>CAC 
(ativação)2</t>
  </si>
  <si>
    <t>Receita MUVX (7,5%) Estimada</t>
  </si>
  <si>
    <t>Receita MUVX (Tarifa Alunos R$2,99) Estimada</t>
  </si>
  <si>
    <t xml:space="preserve"> Media Real de Infra AWS</t>
  </si>
  <si>
    <t xml:space="preserve"> Media Real de Infra AWS (usuário)</t>
  </si>
  <si>
    <t>Receita 
MUVX (7,5%)</t>
  </si>
  <si>
    <t>Receita MUVX (Tarifa Alunos R$3,99)</t>
  </si>
  <si>
    <t>-</t>
  </si>
  <si>
    <t>Lucro Líquido Estimado (~55%)</t>
  </si>
  <si>
    <r>
      <t xml:space="preserve">Investimento no Mês (Growth) </t>
    </r>
    <r>
      <rPr>
        <b/>
        <sz val="11"/>
        <color rgb="FFFF0000"/>
        <rFont val="Calibri (Body)"/>
      </rPr>
      <t>** 50%**</t>
    </r>
  </si>
  <si>
    <t>Receita MUVX (5%) Estimada</t>
  </si>
  <si>
    <r>
      <t xml:space="preserve">Investimento no Mês (Growth) </t>
    </r>
    <r>
      <rPr>
        <b/>
        <sz val="11"/>
        <color rgb="FFFF0000"/>
        <rFont val="Calibri (Body)"/>
      </rPr>
      <t>** 10%**</t>
    </r>
  </si>
  <si>
    <t>Mês Base de Valores</t>
  </si>
  <si>
    <t>Investimentos Totais Growth</t>
  </si>
  <si>
    <t>Receita MUVX (Tarifa Alunos R$1,99) Estimada</t>
  </si>
  <si>
    <t>Média Real Ponderada Alunos 
Ativos Personal</t>
  </si>
  <si>
    <t xml:space="preserve">Média Real Ponderada por Personal </t>
  </si>
  <si>
    <t>Seguidores IG</t>
  </si>
  <si>
    <t>Base personal total</t>
  </si>
  <si>
    <t>Personal ativos (quentes)</t>
  </si>
  <si>
    <t>Alcance IG</t>
  </si>
  <si>
    <t>CTR IG</t>
  </si>
  <si>
    <t>Conversão IG</t>
  </si>
  <si>
    <t>Impacto Base 50k</t>
  </si>
  <si>
    <t>Clique Base 50k</t>
  </si>
  <si>
    <t>Conversão Base 50k</t>
  </si>
  <si>
    <t>Impacto Base 5k</t>
  </si>
  <si>
    <t>Conversão Base 5k</t>
  </si>
  <si>
    <t>Captação total (resultado)</t>
  </si>
  <si>
    <t>Distribuição mês 1</t>
  </si>
  <si>
    <t>Distribuição mês 2</t>
  </si>
  <si>
    <t>Distribuição mês 3</t>
  </si>
  <si>
    <t>Distribuição mês 4</t>
  </si>
  <si>
    <t>Distribuição mês 5–12 (cada)</t>
  </si>
  <si>
    <t>Origem</t>
  </si>
  <si>
    <t>Resultado</t>
  </si>
  <si>
    <t>Personal IG</t>
  </si>
  <si>
    <t>Personal Base 50k</t>
  </si>
  <si>
    <t>Personal Base 5k</t>
  </si>
  <si>
    <t>TOTAL</t>
  </si>
  <si>
    <t>% Distribuição</t>
  </si>
  <si>
    <t>Captação</t>
  </si>
  <si>
    <t>Tx por Personal</t>
  </si>
  <si>
    <t>Media de faturamento de 20K/personal</t>
  </si>
  <si>
    <t>Media de faturamento de 10K/personal</t>
  </si>
  <si>
    <t>Media de faturamento de 3K/personal</t>
  </si>
  <si>
    <t>Base ativa</t>
  </si>
  <si>
    <t>Churn (4%)</t>
  </si>
  <si>
    <t>Receita (Base ativa - Churn) × (1000) // 20%</t>
  </si>
  <si>
    <t>Receita (Base ativa - Churn) × (500) // 40%</t>
  </si>
  <si>
    <t>Receita (Base ativa - Churn) × (250) // 40%</t>
  </si>
  <si>
    <t>Receita Total</t>
  </si>
  <si>
    <t>Var 20%</t>
  </si>
  <si>
    <t>Ag 5%</t>
  </si>
  <si>
    <t>Fee</t>
  </si>
  <si>
    <t>Custo Total</t>
  </si>
  <si>
    <t>Lucro</t>
  </si>
  <si>
    <t>Receita MUVX Estimada 
(7,5% &gt;= 1000 Personais)</t>
  </si>
  <si>
    <t>Receita MUVX 
(7,5% &gt;= 1000 Personais)</t>
  </si>
  <si>
    <t>Receita MUVX Premium (R$79,90)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</si>
</sst>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"/>
    <numFmt numFmtId="165" formatCode="0.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theme="0"/>
      <name val="Calibri"/>
      <family val="2"/>
    </font>
    <font>
      <b/>
      <sz val="12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 (Body)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-0.249977111117893"/>
        <bgColor theme="6"/>
      </patternFill>
    </fill>
    <fill>
      <patternFill patternType="solid">
        <fgColor theme="6" tint="-0.499984740745262"/>
        <bgColor theme="6"/>
      </patternFill>
    </fill>
    <fill>
      <patternFill patternType="solid">
        <fgColor theme="6" tint="0.39997558519241921"/>
        <bgColor theme="6"/>
      </patternFill>
    </fill>
    <fill>
      <patternFill patternType="solid">
        <fgColor theme="6"/>
        <bgColor indexed="64"/>
      </patternFill>
    </fill>
    <fill>
      <patternFill patternType="solid">
        <fgColor theme="6" tint="-0.499984740745262"/>
        <bgColor theme="6" tint="0.79998168889431442"/>
      </patternFill>
    </fill>
    <fill>
      <patternFill patternType="solid">
        <fgColor rgb="FFD8E4BC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E2ECF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2" fillId="0" borderId="0" xfId="0" applyFont="1" applyAlignment="1">
      <alignment horizontal="left" indent="1"/>
    </xf>
    <xf numFmtId="17" fontId="5" fillId="6" borderId="0" xfId="0" applyNumberFormat="1" applyFont="1" applyFill="1" applyAlignment="1">
      <alignment horizontal="center"/>
    </xf>
    <xf numFmtId="17" fontId="6" fillId="7" borderId="0" xfId="0" applyNumberFormat="1" applyFont="1" applyFill="1" applyAlignment="1">
      <alignment horizontal="center"/>
    </xf>
    <xf numFmtId="17" fontId="6" fillId="8" borderId="0" xfId="0" applyNumberFormat="1" applyFont="1" applyFill="1" applyAlignment="1">
      <alignment horizontal="center"/>
    </xf>
    <xf numFmtId="17" fontId="6" fillId="9" borderId="0" xfId="0" applyNumberFormat="1" applyFont="1" applyFill="1" applyAlignment="1">
      <alignment horizontal="center"/>
    </xf>
    <xf numFmtId="17" fontId="5" fillId="10" borderId="0" xfId="0" applyNumberFormat="1" applyFont="1" applyFill="1" applyAlignment="1">
      <alignment horizontal="center"/>
    </xf>
    <xf numFmtId="17" fontId="5" fillId="6" borderId="2" xfId="0" applyNumberFormat="1" applyFont="1" applyFill="1" applyBorder="1" applyAlignment="1">
      <alignment horizontal="left"/>
    </xf>
    <xf numFmtId="0" fontId="7" fillId="2" borderId="0" xfId="0" applyFont="1" applyFill="1"/>
    <xf numFmtId="4" fontId="7" fillId="2" borderId="0" xfId="0" applyNumberFormat="1" applyFont="1" applyFill="1"/>
    <xf numFmtId="4" fontId="7" fillId="0" borderId="0" xfId="0" applyNumberFormat="1" applyFont="1"/>
    <xf numFmtId="0" fontId="5" fillId="11" borderId="3" xfId="0" applyFont="1" applyFill="1" applyBorder="1" applyAlignment="1">
      <alignment horizontal="left" indent="1"/>
    </xf>
    <xf numFmtId="44" fontId="0" fillId="0" borderId="0" xfId="1" applyFont="1"/>
    <xf numFmtId="44" fontId="0" fillId="0" borderId="0" xfId="0" applyNumberFormat="1"/>
    <xf numFmtId="0" fontId="5" fillId="13" borderId="3" xfId="0" applyFont="1" applyFill="1" applyBorder="1" applyAlignment="1">
      <alignment horizontal="left" indent="1"/>
    </xf>
    <xf numFmtId="4" fontId="5" fillId="13" borderId="3" xfId="0" applyNumberFormat="1" applyFont="1" applyFill="1" applyBorder="1"/>
    <xf numFmtId="0" fontId="2" fillId="14" borderId="0" xfId="0" applyFont="1" applyFill="1" applyAlignment="1">
      <alignment horizontal="left" indent="1"/>
    </xf>
    <xf numFmtId="0" fontId="8" fillId="15" borderId="3" xfId="0" applyFont="1" applyFill="1" applyBorder="1" applyAlignment="1">
      <alignment horizontal="left" indent="1"/>
    </xf>
    <xf numFmtId="4" fontId="8" fillId="15" borderId="3" xfId="0" applyNumberFormat="1" applyFont="1" applyFill="1" applyBorder="1"/>
    <xf numFmtId="0" fontId="2" fillId="4" borderId="0" xfId="0" applyFont="1" applyFill="1" applyAlignment="1">
      <alignment horizontal="left" indent="1"/>
    </xf>
    <xf numFmtId="0" fontId="5" fillId="16" borderId="0" xfId="0" applyFont="1" applyFill="1" applyAlignment="1">
      <alignment horizontal="left" indent="2"/>
    </xf>
    <xf numFmtId="0" fontId="2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4"/>
    </xf>
    <xf numFmtId="2" fontId="7" fillId="0" borderId="0" xfId="0" applyNumberFormat="1" applyFont="1"/>
    <xf numFmtId="0" fontId="9" fillId="17" borderId="3" xfId="0" applyFont="1" applyFill="1" applyBorder="1"/>
    <xf numFmtId="4" fontId="9" fillId="17" borderId="3" xfId="0" applyNumberFormat="1" applyFont="1" applyFill="1" applyBorder="1"/>
    <xf numFmtId="0" fontId="5" fillId="7" borderId="4" xfId="0" applyFont="1" applyFill="1" applyBorder="1" applyAlignment="1">
      <alignment horizontal="left" indent="1"/>
    </xf>
    <xf numFmtId="0" fontId="0" fillId="0" borderId="0" xfId="0" applyAlignment="1">
      <alignment vertical="center"/>
    </xf>
    <xf numFmtId="4" fontId="2" fillId="14" borderId="0" xfId="0" applyNumberFormat="1" applyFont="1" applyFill="1" applyAlignment="1">
      <alignment horizontal="left" indent="1"/>
    </xf>
    <xf numFmtId="4" fontId="3" fillId="0" borderId="0" xfId="0" applyNumberFormat="1" applyFont="1" applyAlignment="1">
      <alignment horizontal="left" indent="2"/>
    </xf>
    <xf numFmtId="4" fontId="0" fillId="0" borderId="0" xfId="0" applyNumberFormat="1" applyAlignment="1">
      <alignment horizontal="left" indent="2"/>
    </xf>
    <xf numFmtId="4" fontId="2" fillId="4" borderId="0" xfId="0" applyNumberFormat="1" applyFont="1" applyFill="1" applyAlignment="1">
      <alignment horizontal="left" indent="1"/>
    </xf>
    <xf numFmtId="4" fontId="2" fillId="16" borderId="0" xfId="0" applyNumberFormat="1" applyFont="1" applyFill="1" applyAlignment="1">
      <alignment horizontal="left" indent="2"/>
    </xf>
    <xf numFmtId="4" fontId="0" fillId="0" borderId="0" xfId="0" applyNumberFormat="1" applyAlignment="1">
      <alignment horizontal="left" indent="4"/>
    </xf>
    <xf numFmtId="4" fontId="0" fillId="0" borderId="0" xfId="0" applyNumberFormat="1" applyAlignment="1">
      <alignment horizontal="left" indent="1"/>
    </xf>
    <xf numFmtId="4" fontId="2" fillId="0" borderId="0" xfId="0" applyNumberFormat="1" applyFont="1" applyAlignment="1">
      <alignment horizontal="left" indent="1"/>
    </xf>
    <xf numFmtId="4" fontId="0" fillId="0" borderId="0" xfId="0" applyNumberFormat="1"/>
    <xf numFmtId="4" fontId="5" fillId="7" borderId="4" xfId="0" applyNumberFormat="1" applyFont="1" applyFill="1" applyBorder="1"/>
    <xf numFmtId="4" fontId="5" fillId="11" borderId="3" xfId="0" applyNumberFormat="1" applyFont="1" applyFill="1" applyBorder="1" applyAlignment="1">
      <alignment horizontal="left" indent="1"/>
    </xf>
    <xf numFmtId="0" fontId="0" fillId="12" borderId="0" xfId="0" applyFill="1"/>
    <xf numFmtId="4" fontId="0" fillId="12" borderId="0" xfId="0" applyNumberFormat="1" applyFill="1"/>
    <xf numFmtId="9" fontId="0" fillId="0" borderId="0" xfId="2" applyFont="1"/>
    <xf numFmtId="9" fontId="0" fillId="12" borderId="0" xfId="2" applyFont="1" applyFill="1"/>
    <xf numFmtId="4" fontId="7" fillId="19" borderId="0" xfId="0" applyNumberFormat="1" applyFont="1" applyFill="1"/>
    <xf numFmtId="0" fontId="2" fillId="19" borderId="0" xfId="0" applyFont="1" applyFill="1"/>
    <xf numFmtId="0" fontId="9" fillId="20" borderId="3" xfId="0" applyFont="1" applyFill="1" applyBorder="1"/>
    <xf numFmtId="4" fontId="9" fillId="20" borderId="3" xfId="0" applyNumberFormat="1" applyFont="1" applyFill="1" applyBorder="1"/>
    <xf numFmtId="4" fontId="0" fillId="0" borderId="0" xfId="0" applyNumberFormat="1" applyAlignment="1">
      <alignment horizontal="center"/>
    </xf>
    <xf numFmtId="4" fontId="0" fillId="12" borderId="0" xfId="0" applyNumberFormat="1" applyFill="1" applyAlignment="1">
      <alignment horizontal="center"/>
    </xf>
    <xf numFmtId="0" fontId="7" fillId="2" borderId="3" xfId="0" applyFont="1" applyFill="1" applyBorder="1"/>
    <xf numFmtId="4" fontId="7" fillId="2" borderId="3" xfId="0" applyNumberFormat="1" applyFont="1" applyFill="1" applyBorder="1"/>
    <xf numFmtId="0" fontId="2" fillId="0" borderId="5" xfId="0" applyFont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9" fontId="4" fillId="22" borderId="5" xfId="0" applyNumberFormat="1" applyFont="1" applyFill="1" applyBorder="1" applyAlignment="1">
      <alignment horizontal="center" vertical="center" wrapText="1"/>
    </xf>
    <xf numFmtId="9" fontId="2" fillId="21" borderId="5" xfId="0" applyNumberFormat="1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6" xfId="0" applyNumberFormat="1" applyBorder="1"/>
    <xf numFmtId="44" fontId="0" fillId="14" borderId="0" xfId="1" applyFont="1" applyFill="1"/>
    <xf numFmtId="1" fontId="0" fillId="0" borderId="0" xfId="0" applyNumberFormat="1"/>
    <xf numFmtId="9" fontId="0" fillId="0" borderId="0" xfId="2" applyFont="1" applyFill="1" applyAlignment="1">
      <alignment horizontal="center"/>
    </xf>
    <xf numFmtId="1" fontId="0" fillId="0" borderId="0" xfId="2" applyNumberFormat="1" applyFont="1" applyFill="1" applyAlignment="1">
      <alignment horizontal="center"/>
    </xf>
    <xf numFmtId="44" fontId="0" fillId="14" borderId="0" xfId="1" applyFont="1" applyFill="1" applyAlignment="1">
      <alignment horizontal="left" indent="5"/>
    </xf>
    <xf numFmtId="9" fontId="0" fillId="14" borderId="0" xfId="2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14" borderId="0" xfId="1" applyNumberFormat="1" applyFont="1" applyFill="1" applyAlignment="1">
      <alignment horizontal="center"/>
    </xf>
    <xf numFmtId="44" fontId="0" fillId="14" borderId="0" xfId="1" applyFont="1" applyFill="1" applyAlignment="1">
      <alignment horizontal="center"/>
    </xf>
    <xf numFmtId="44" fontId="0" fillId="0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1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19" borderId="0" xfId="0" applyNumberFormat="1" applyFill="1"/>
    <xf numFmtId="44" fontId="0" fillId="0" borderId="0" xfId="1" applyFont="1" applyFill="1"/>
    <xf numFmtId="44" fontId="0" fillId="0" borderId="0" xfId="2" applyNumberFormat="1" applyFont="1"/>
    <xf numFmtId="17" fontId="0" fillId="24" borderId="6" xfId="0" applyNumberFormat="1" applyFill="1" applyBorder="1"/>
    <xf numFmtId="17" fontId="2" fillId="0" borderId="0" xfId="0" applyNumberFormat="1" applyFont="1" applyAlignment="1">
      <alignment horizontal="center"/>
    </xf>
    <xf numFmtId="44" fontId="2" fillId="0" borderId="0" xfId="1" applyFont="1" applyAlignment="1">
      <alignment horizontal="center"/>
    </xf>
    <xf numFmtId="1" fontId="2" fillId="0" borderId="0" xfId="1" applyNumberFormat="1" applyFont="1" applyAlignment="1">
      <alignment horizontal="center"/>
    </xf>
    <xf numFmtId="9" fontId="2" fillId="0" borderId="0" xfId="1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" fontId="0" fillId="0" borderId="0" xfId="0" applyNumberFormat="1"/>
    <xf numFmtId="9" fontId="0" fillId="0" borderId="0" xfId="0" applyNumberFormat="1"/>
    <xf numFmtId="44" fontId="2" fillId="0" borderId="0" xfId="0" applyNumberFormat="1" applyFont="1"/>
    <xf numFmtId="9" fontId="0" fillId="0" borderId="0" xfId="2" applyFont="1" applyAlignment="1">
      <alignment horizontal="center"/>
    </xf>
    <xf numFmtId="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4" fillId="22" borderId="5" xfId="0" applyFont="1" applyFill="1" applyBorder="1" applyAlignment="1">
      <alignment horizontal="center" vertical="center" wrapText="1"/>
    </xf>
    <xf numFmtId="0" fontId="10" fillId="18" borderId="7" xfId="0" applyFont="1" applyFill="1" applyBorder="1" applyAlignment="1">
      <alignment horizontal="center" vertical="center" wrapText="1"/>
    </xf>
    <xf numFmtId="0" fontId="10" fillId="25" borderId="7" xfId="0" applyFont="1" applyFill="1" applyBorder="1" applyAlignment="1">
      <alignment horizontal="center" vertical="center" wrapText="1"/>
    </xf>
    <xf numFmtId="0" fontId="10" fillId="26" borderId="7" xfId="0" applyFont="1" applyFill="1" applyBorder="1" applyAlignment="1">
      <alignment horizontal="center" vertical="center" wrapText="1"/>
    </xf>
    <xf numFmtId="0" fontId="4" fillId="27" borderId="7" xfId="0" applyFont="1" applyFill="1" applyBorder="1" applyAlignment="1">
      <alignment horizontal="center" vertical="center" wrapText="1"/>
    </xf>
    <xf numFmtId="0" fontId="10" fillId="21" borderId="7" xfId="0" applyFont="1" applyFill="1" applyBorder="1" applyAlignment="1">
      <alignment horizontal="center" vertical="center" wrapText="1"/>
    </xf>
    <xf numFmtId="0" fontId="10" fillId="23" borderId="7" xfId="0" applyFont="1" applyFill="1" applyBorder="1" applyAlignment="1">
      <alignment horizontal="center" vertical="center" wrapText="1"/>
    </xf>
    <xf numFmtId="44" fontId="0" fillId="14" borderId="8" xfId="1" applyFont="1" applyFill="1" applyBorder="1"/>
    <xf numFmtId="1" fontId="0" fillId="28" borderId="0" xfId="0" applyNumberFormat="1" applyFill="1"/>
    <xf numFmtId="9" fontId="0" fillId="14" borderId="0" xfId="0" applyNumberFormat="1" applyFill="1" applyAlignment="1">
      <alignment horizontal="center"/>
    </xf>
    <xf numFmtId="1" fontId="0" fillId="14" borderId="0" xfId="0" applyNumberFormat="1" applyFill="1" applyAlignment="1">
      <alignment horizontal="center"/>
    </xf>
    <xf numFmtId="1" fontId="0" fillId="14" borderId="0" xfId="0" applyNumberFormat="1" applyFill="1"/>
    <xf numFmtId="44" fontId="0" fillId="14" borderId="0" xfId="0" applyNumberFormat="1" applyFill="1"/>
    <xf numFmtId="17" fontId="2" fillId="24" borderId="6" xfId="0" applyNumberFormat="1" applyFont="1" applyFill="1" applyBorder="1" applyAlignment="1">
      <alignment horizontal="center"/>
    </xf>
    <xf numFmtId="44" fontId="2" fillId="24" borderId="8" xfId="1" applyFont="1" applyFill="1" applyBorder="1" applyAlignment="1">
      <alignment horizontal="center"/>
    </xf>
    <xf numFmtId="1" fontId="2" fillId="24" borderId="8" xfId="1" applyNumberFormat="1" applyFont="1" applyFill="1" applyBorder="1" applyAlignment="1">
      <alignment horizontal="center"/>
    </xf>
    <xf numFmtId="9" fontId="2" fillId="24" borderId="8" xfId="1" applyNumberFormat="1" applyFont="1" applyFill="1" applyBorder="1" applyAlignment="1">
      <alignment horizontal="center"/>
    </xf>
    <xf numFmtId="2" fontId="2" fillId="24" borderId="8" xfId="1" applyNumberFormat="1" applyFont="1" applyFill="1" applyBorder="1" applyAlignment="1">
      <alignment horizontal="center"/>
    </xf>
    <xf numFmtId="1" fontId="2" fillId="24" borderId="8" xfId="0" applyNumberFormat="1" applyFont="1" applyFill="1" applyBorder="1" applyAlignment="1">
      <alignment horizontal="center"/>
    </xf>
    <xf numFmtId="9" fontId="2" fillId="24" borderId="8" xfId="2" applyFont="1" applyFill="1" applyBorder="1" applyAlignment="1">
      <alignment horizontal="center"/>
    </xf>
    <xf numFmtId="9" fontId="2" fillId="24" borderId="8" xfId="0" applyNumberFormat="1" applyFont="1" applyFill="1" applyBorder="1" applyAlignment="1">
      <alignment horizontal="center"/>
    </xf>
    <xf numFmtId="44" fontId="2" fillId="24" borderId="8" xfId="0" applyNumberFormat="1" applyFont="1" applyFill="1" applyBorder="1" applyAlignment="1">
      <alignment horizontal="center"/>
    </xf>
    <xf numFmtId="1" fontId="0" fillId="24" borderId="8" xfId="0" applyNumberFormat="1" applyFill="1" applyBorder="1"/>
    <xf numFmtId="0" fontId="2" fillId="24" borderId="8" xfId="0" applyFont="1" applyFill="1" applyBorder="1" applyAlignment="1">
      <alignment horizontal="center"/>
    </xf>
    <xf numFmtId="0" fontId="2" fillId="24" borderId="9" xfId="0" applyFont="1" applyFill="1" applyBorder="1" applyAlignment="1">
      <alignment horizontal="center"/>
    </xf>
    <xf numFmtId="0" fontId="0" fillId="0" borderId="8" xfId="0" applyBorder="1"/>
    <xf numFmtId="44" fontId="0" fillId="0" borderId="8" xfId="0" applyNumberFormat="1" applyBorder="1"/>
    <xf numFmtId="9" fontId="0" fillId="0" borderId="8" xfId="0" applyNumberFormat="1" applyBorder="1"/>
    <xf numFmtId="1" fontId="0" fillId="0" borderId="8" xfId="0" applyNumberFormat="1" applyBorder="1"/>
    <xf numFmtId="1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24" borderId="8" xfId="0" applyFill="1" applyBorder="1"/>
    <xf numFmtId="44" fontId="2" fillId="24" borderId="8" xfId="0" applyNumberFormat="1" applyFont="1" applyFill="1" applyBorder="1"/>
    <xf numFmtId="9" fontId="0" fillId="24" borderId="8" xfId="2" applyFont="1" applyFill="1" applyBorder="1" applyAlignment="1">
      <alignment horizontal="center"/>
    </xf>
    <xf numFmtId="9" fontId="2" fillId="24" borderId="8" xfId="0" applyNumberFormat="1" applyFont="1" applyFill="1" applyBorder="1"/>
    <xf numFmtId="44" fontId="0" fillId="24" borderId="8" xfId="0" applyNumberFormat="1" applyFill="1" applyBorder="1"/>
    <xf numFmtId="0" fontId="2" fillId="24" borderId="8" xfId="0" applyFont="1" applyFill="1" applyBorder="1"/>
    <xf numFmtId="0" fontId="0" fillId="24" borderId="9" xfId="0" applyFill="1" applyBorder="1"/>
    <xf numFmtId="3" fontId="0" fillId="0" borderId="0" xfId="0" applyNumberFormat="1"/>
    <xf numFmtId="17" fontId="0" fillId="24" borderId="6" xfId="0" applyNumberFormat="1" applyFill="1" applyBorder="1" applyAlignment="1">
      <alignment horizontal="center"/>
    </xf>
    <xf numFmtId="1" fontId="0" fillId="14" borderId="8" xfId="1" applyNumberFormat="1" applyFont="1" applyFill="1" applyBorder="1" applyAlignment="1">
      <alignment horizontal="center"/>
    </xf>
    <xf numFmtId="9" fontId="0" fillId="14" borderId="8" xfId="1" applyNumberFormat="1" applyFont="1" applyFill="1" applyBorder="1"/>
    <xf numFmtId="44" fontId="0" fillId="14" borderId="8" xfId="1" applyFont="1" applyFill="1" applyBorder="1" applyAlignment="1">
      <alignment horizontal="left"/>
    </xf>
    <xf numFmtId="44" fontId="0" fillId="14" borderId="8" xfId="1" applyFont="1" applyFill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9" fontId="2" fillId="0" borderId="0" xfId="2" applyFont="1" applyAlignment="1">
      <alignment horizontal="center"/>
    </xf>
    <xf numFmtId="3" fontId="2" fillId="0" borderId="0" xfId="0" applyNumberFormat="1" applyFont="1"/>
    <xf numFmtId="10" fontId="0" fillId="0" borderId="0" xfId="0" applyNumberFormat="1"/>
    <xf numFmtId="0" fontId="10" fillId="18" borderId="10" xfId="0" applyFont="1" applyFill="1" applyBorder="1"/>
    <xf numFmtId="3" fontId="0" fillId="0" borderId="10" xfId="0" applyNumberFormat="1" applyBorder="1"/>
    <xf numFmtId="44" fontId="2" fillId="0" borderId="0" xfId="1" applyFont="1"/>
    <xf numFmtId="9" fontId="0" fillId="0" borderId="0" xfId="0" applyNumberFormat="1" applyAlignment="1">
      <alignment horizontal="center"/>
    </xf>
    <xf numFmtId="165" fontId="0" fillId="0" borderId="0" xfId="2" applyNumberFormat="1" applyFont="1"/>
    <xf numFmtId="4" fontId="0" fillId="19" borderId="0" xfId="0" applyNumberFormat="1" applyFill="1" applyAlignment="1">
      <alignment horizontal="left" indent="2"/>
    </xf>
    <xf numFmtId="4" fontId="0" fillId="19" borderId="0" xfId="0" applyNumberFormat="1" applyFill="1" applyAlignment="1">
      <alignment horizontal="left" indent="1"/>
    </xf>
    <xf numFmtId="4" fontId="0" fillId="19" borderId="0" xfId="0" applyNumberFormat="1" applyFill="1" applyAlignment="1">
      <alignment horizontal="left" indent="4"/>
    </xf>
    <xf numFmtId="9" fontId="12" fillId="21" borderId="0" xfId="2" applyFont="1" applyFill="1"/>
    <xf numFmtId="9" fontId="10" fillId="29" borderId="8" xfId="2" applyFont="1" applyFill="1" applyBorder="1" applyAlignment="1">
      <alignment horizontal="center"/>
    </xf>
    <xf numFmtId="9" fontId="13" fillId="30" borderId="0" xfId="0" applyNumberFormat="1" applyFont="1" applyFill="1" applyAlignment="1">
      <alignment horizontal="center"/>
    </xf>
    <xf numFmtId="4" fontId="0" fillId="31" borderId="0" xfId="0" applyNumberFormat="1" applyFill="1" applyAlignment="1">
      <alignment horizontal="left" indent="4"/>
    </xf>
    <xf numFmtId="4" fontId="0" fillId="31" borderId="0" xfId="0" applyNumberFormat="1" applyFill="1" applyAlignment="1">
      <alignment horizontal="left" indent="2"/>
    </xf>
    <xf numFmtId="0" fontId="2" fillId="31" borderId="0" xfId="0" applyFont="1" applyFill="1" applyAlignment="1">
      <alignment horizontal="left" indent="4"/>
    </xf>
    <xf numFmtId="0" fontId="3" fillId="0" borderId="0" xfId="0" applyFont="1"/>
    <xf numFmtId="4" fontId="3" fillId="0" borderId="0" xfId="0" applyNumberFormat="1" applyFont="1"/>
    <xf numFmtId="0" fontId="5" fillId="0" borderId="0" xfId="0" applyFont="1"/>
    <xf numFmtId="4" fontId="5" fillId="0" borderId="0" xfId="0" applyNumberFormat="1" applyFont="1"/>
    <xf numFmtId="4" fontId="7" fillId="33" borderId="0" xfId="0" applyNumberFormat="1" applyFont="1" applyFill="1"/>
    <xf numFmtId="4" fontId="3" fillId="32" borderId="0" xfId="0" applyNumberFormat="1" applyFont="1" applyFill="1"/>
    <xf numFmtId="0" fontId="3" fillId="32" borderId="0" xfId="0" applyFont="1" applyFill="1"/>
    <xf numFmtId="4" fontId="3" fillId="23" borderId="0" xfId="0" applyNumberFormat="1" applyFont="1" applyFill="1"/>
    <xf numFmtId="0" fontId="3" fillId="23" borderId="0" xfId="0" applyFont="1" applyFill="1"/>
    <xf numFmtId="0" fontId="3" fillId="3" borderId="0" xfId="0" applyFont="1" applyFill="1"/>
    <xf numFmtId="4" fontId="3" fillId="3" borderId="0" xfId="0" applyNumberFormat="1" applyFont="1" applyFill="1"/>
    <xf numFmtId="4" fontId="0" fillId="3" borderId="0" xfId="0" applyNumberFormat="1" applyFill="1" applyAlignment="1">
      <alignment horizontal="left" indent="1"/>
    </xf>
    <xf numFmtId="0" fontId="0" fillId="23" borderId="0" xfId="0" applyFill="1"/>
    <xf numFmtId="4" fontId="0" fillId="23" borderId="0" xfId="0" applyNumberFormat="1" applyFill="1"/>
    <xf numFmtId="0" fontId="14" fillId="23" borderId="0" xfId="0" applyFont="1" applyFill="1"/>
    <xf numFmtId="0" fontId="3" fillId="34" borderId="0" xfId="0" applyFont="1" applyFill="1"/>
    <xf numFmtId="4" fontId="0" fillId="23" borderId="0" xfId="0" applyNumberFormat="1" applyFill="1" applyAlignment="1">
      <alignment horizontal="left" indent="4"/>
    </xf>
    <xf numFmtId="4" fontId="0" fillId="35" borderId="0" xfId="0" applyNumberFormat="1" applyFill="1" applyAlignment="1">
      <alignment horizontal="left" indent="4"/>
    </xf>
    <xf numFmtId="4" fontId="0" fillId="35" borderId="0" xfId="0" applyNumberFormat="1" applyFill="1" applyAlignment="1">
      <alignment horizontal="left" indent="1"/>
    </xf>
    <xf numFmtId="0" fontId="3" fillId="35" borderId="0" xfId="0" applyFont="1" applyFill="1"/>
    <xf numFmtId="0" fontId="0" fillId="35" borderId="0" xfId="0" applyFill="1"/>
    <xf numFmtId="0" fontId="0" fillId="0" borderId="0" xfId="0" applyAlignment="1">
      <alignment horizontal="left" inden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0" fillId="21" borderId="1" xfId="0" applyFont="1" applyFill="1" applyBorder="1" applyAlignment="1">
      <alignment horizontal="center"/>
    </xf>
    <xf numFmtId="0" fontId="10" fillId="21" borderId="0" xfId="0" applyFont="1" applyFill="1" applyAlignment="1">
      <alignment horizontal="center"/>
    </xf>
    <xf numFmtId="9" fontId="4" fillId="22" borderId="0" xfId="0" applyNumberFormat="1" applyFont="1" applyFill="1" applyAlignment="1">
      <alignment horizontal="center"/>
    </xf>
    <xf numFmtId="9" fontId="10" fillId="21" borderId="0" xfId="0" applyNumberFormat="1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9" fontId="4" fillId="22" borderId="1" xfId="0" applyNumberFormat="1" applyFont="1" applyFill="1" applyBorder="1" applyAlignment="1">
      <alignment horizontal="center"/>
    </xf>
    <xf numFmtId="9" fontId="10" fillId="21" borderId="1" xfId="0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1"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22" formatCode="mmm/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22" formatCode="mmm/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22" formatCode="mmm/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1" formatCode="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2" formatCode="mmm/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1" formatCode="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2" formatCode="mmm/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1" formatCode="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2" formatCode="mmm/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22" formatCode="mmm/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22" formatCode="mmm/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22" formatCode="mmm/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4" formatCode="#,##0.0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onardo Assumpção" id="{047DFBF8-84A7-BD41-BA36-056540929246}" userId="S::leonardo@assumtek.com.br::b2732cee-f9a1-4c61-914f-c6d3ff17f1e5" providerId="AD"/>
  <person displayName="Leo Assumpcao" id="{A4D8325C-9A95-9942-BB70-00B7AF1E08ED}" userId="S::Leo.Assumpcao@univarsolutions.com::67121ff2-2a5a-45da-8f6d-40df18360db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C0203-7EEE-0949-87CF-C7F0F7AF8375}" name="Table1" displayName="Table1" ref="A2:M18" totalsRowCount="1" totalsRowDxfId="220">
  <autoFilter ref="A2:M17" xr:uid="{B99C0203-7EEE-0949-87CF-C7F0F7AF8375}"/>
  <tableColumns count="13">
    <tableColumn id="1" xr3:uid="{38BF7480-1C24-5A4C-A95C-1C07C9AE81A1}" name="Categoria" totalsRowLabel="Tx Crescimento"/>
    <tableColumn id="2" xr3:uid="{D9007824-DAF8-2244-A024-3276A67640E5}" name="Jan/26" dataDxfId="218" totalsRowDxfId="219"/>
    <tableColumn id="3" xr3:uid="{DE2092BF-A28A-6145-B4F0-221544E6532E}" name="Feb/26" dataDxfId="216" totalsRowDxfId="217"/>
    <tableColumn id="4" xr3:uid="{4E56A777-A48E-E04C-9B48-45E4F44AFD73}" name="Mar/26" dataDxfId="214" totalsRowDxfId="215"/>
    <tableColumn id="5" xr3:uid="{A58F946A-25FB-974C-AFEA-EA1227227318}" name="Apr/26" totalsRowFunction="custom" dataDxfId="212" totalsRowDxfId="213">
      <totalsRowFormula>E11/F11</totalsRowFormula>
    </tableColumn>
    <tableColumn id="6" xr3:uid="{BEE9239F-1990-754E-9AC4-BA41B009F1BD}" name="May/26" totalsRowFunction="custom" dataDxfId="210" totalsRowDxfId="211">
      <totalsRowFormula>F11/G11</totalsRowFormula>
    </tableColumn>
    <tableColumn id="7" xr3:uid="{6F142F90-AE53-7D4E-8542-71CD2B5619E7}" name="Jun/26" totalsRowFunction="custom" dataDxfId="208" totalsRowDxfId="209">
      <totalsRowFormula>G11/H11</totalsRowFormula>
    </tableColumn>
    <tableColumn id="8" xr3:uid="{E505F6D1-AF5F-5345-ACFA-57BDC54B954D}" name="Jul/26" totalsRowFunction="custom" dataDxfId="206" totalsRowDxfId="207">
      <totalsRowFormula>H11/I11</totalsRowFormula>
    </tableColumn>
    <tableColumn id="9" xr3:uid="{D7424EBE-260A-1F49-9AEA-358F39695ECF}" name="Aug/26" totalsRowFunction="custom" dataDxfId="204" totalsRowDxfId="205">
      <totalsRowFormula>I11/J11</totalsRowFormula>
    </tableColumn>
    <tableColumn id="10" xr3:uid="{F7063E6F-0D58-534C-A4EC-6B35775AA6BB}" name="Sep/26" totalsRowFunction="custom" dataDxfId="202" totalsRowDxfId="203">
      <totalsRowFormula>J11/K11</totalsRowFormula>
    </tableColumn>
    <tableColumn id="11" xr3:uid="{591F6A76-2323-6E4E-B343-597BB1005D4C}" name="Oct/26" totalsRowFunction="custom" dataDxfId="200" totalsRowDxfId="201">
      <totalsRowFormula>K11/L11</totalsRowFormula>
    </tableColumn>
    <tableColumn id="12" xr3:uid="{84A6B470-AF36-8C48-9B2B-A6FBCF6BFF3B}" name="Nov/26" totalsRowFunction="custom" dataDxfId="198" totalsRowDxfId="199">
      <totalsRowFormula>L11/M11</totalsRowFormula>
    </tableColumn>
    <tableColumn id="13" xr3:uid="{807585DD-A297-F54B-82DE-B007AE336205}" name="Dec/26" dataDxfId="196" totalsRowDxfId="197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014901D-C916-EF4D-9F07-A6704F98E781}" name="Table15313" displayName="Table15313" ref="A2:AH19" totalsRowShown="0" headerRowBorderDxfId="194" tableBorderDxfId="195">
  <autoFilter ref="A2:AH19" xr:uid="{B4BDA4A2-C38C-C14D-A62B-117BABA6383F}"/>
  <tableColumns count="34">
    <tableColumn id="1" xr3:uid="{E331E681-FEF8-4D4D-94D0-DC5F3FF9D674}" name="Mês"/>
    <tableColumn id="9" xr3:uid="{CF54564C-F286-0347-B3FE-B27EDC8EE2E4}" name="Investimento no Mês_x000a_ (Growth) // 5%" dataDxfId="193"/>
    <tableColumn id="26" xr3:uid="{4B44AA01-1BC5-C24D-8F8B-6CA95C168287}" name="CPL - Tráfego_x000a_(cadastro)"/>
    <tableColumn id="27" xr3:uid="{ECDC12FB-2FD1-654E-A0A9-A58C5DFE730D}" name="Novos Cadastros _x000a_LP" dataDxfId="192">
      <calculatedColumnFormula>Table15313[[#This Row],[Investimento no Mês
 (Growth) // 5%]]/Table15313[[#This Row],[CPL - Tráfego
(cadastro)]]</calculatedColumnFormula>
    </tableColumn>
    <tableColumn id="28" xr3:uid="{66151A8B-9004-1A48-8289-116EFFE26368}" name="Tx. % Install" dataDxfId="191">
      <calculatedColumnFormula>Table15313[[#This Row],[Novos Personais Ativados]]/Table15313[[#This Row],[Novos Cadastros 
LP]]</calculatedColumnFormula>
    </tableColumn>
    <tableColumn id="36" xr3:uid="{C766B4DE-CDCE-6740-9074-09A3950E2459}" name="Novos Installs no App" dataDxfId="190">
      <calculatedColumnFormula>Table15313[[#This Row],[Novos Cadastros 
LP]]*Table15313[[#This Row],[Tx. % Install]]</calculatedColumnFormula>
    </tableColumn>
    <tableColumn id="35" xr3:uid="{8A736909-80F9-1647-BE5E-90C9987005C0}" name="Tx % Ativações" dataDxfId="189">
      <calculatedColumnFormula>G64</calculatedColumnFormula>
    </tableColumn>
    <tableColumn id="34" xr3:uid="{F76D8E46-44B8-BA46-8A91-A1746E34591B}" name="Novos Personais Habilitados" dataDxfId="188">
      <calculatedColumnFormula>Table15313[[#This Row],[Novos Installs no App]]*Table15313[[#This Row],[Tx % Ativações]]</calculatedColumnFormula>
    </tableColumn>
    <tableColumn id="33" xr3:uid="{AD52208C-ACC5-4E49-8884-A30E5F20BE7C}" name="Tx % de Conversão" dataDxfId="187">
      <calculatedColumnFormula>I64</calculatedColumnFormula>
    </tableColumn>
    <tableColumn id="23" xr3:uid="{61DF8A9F-5256-0B44-B47D-1553A05F4020}" name="Cadastros Evento Presencial"/>
    <tableColumn id="32" xr3:uid="{1E876F56-4020-4D4F-9680-2700D9B38AB1}" name="Tx % Ativação Presencial"/>
    <tableColumn id="2" xr3:uid="{D6D8A372-9B50-D746-972C-1760753096DE}" name="Novos Personais Ativados"/>
    <tableColumn id="21" xr3:uid="{156429C2-9F29-E046-8E84-2C95818F6DFF}" name="Personais _x000a_Totais" dataDxfId="186">
      <calculatedColumnFormula>Table15313[[#This Row],[Personais 
Ativos Mês]]+Table15313[[#This Row],[Qtde. Churn 
no Mês]]</calculatedColumnFormula>
    </tableColumn>
    <tableColumn id="24" xr3:uid="{81E59796-41C1-0E4C-9BD3-B2F3666C7327}" name="CAC _x000a_(ativação)"/>
    <tableColumn id="16" xr3:uid="{EB72E726-F789-DE49-9C12-C4A0EEF609B5}" name="Tx. % Churn" dataDxfId="185">
      <calculatedColumnFormula>Table15313[[#This Row],[Qtde. Churn 
no Mês]]/Table15313[[#This Row],[Personais 
Ativos Mês]]</calculatedColumnFormula>
    </tableColumn>
    <tableColumn id="4" xr3:uid="{FACAAB50-8995-344B-9853-57968D8B4ED5}" name="Qtde. Churn _x000a_no Mês"/>
    <tableColumn id="3" xr3:uid="{00903BB3-E463-0847-9E3A-F15A217B062A}" name="Personais _x000a_Ativos Mês"/>
    <tableColumn id="15" xr3:uid="{0591F687-BB63-3847-8A6D-9561502C65A3}" name="Média Alunos Estimada _x000a_Total Personal"/>
    <tableColumn id="25" xr3:uid="{5E5A3164-85CF-0C47-A5EA-73C9B248E770}" name="Ticket Médio Aluno Personal" dataDxfId="184">
      <calculatedColumnFormula>Table15313[[#This Row],[Média Faturamento
Estimada Personal]]/Table15313[[#This Row],[Média Alunos Estimada 
Total Personal]]</calculatedColumnFormula>
    </tableColumn>
    <tableColumn id="20" xr3:uid="{2BCE830E-1657-CC45-BC0A-642461CFAB1F}" name="Média Faturamento_x000a_Estimada Personal"/>
    <tableColumn id="30" xr3:uid="{B805D2EF-16A5-4F47-8F9B-9A0E03A9B39F}" name="Total Usuários Estimado" dataDxfId="183">
      <calculatedColumnFormula>Table15313[[#This Row],[Personais 
Ativos Mês]]+(Table15313[[#This Row],[Personais 
Ativos Mês]]*Table15313[[#This Row],[Média Alunos Estimada 
Total Personal]])</calculatedColumnFormula>
    </tableColumn>
    <tableColumn id="18" xr3:uid="{27C154D4-53BF-9B45-BB55-02B542934A81}" name="Faturamento Estimado" dataDxfId="182">
      <calculatedColumnFormula>Table15313[[#This Row],[Média Faturamento
Estimada Personal]]*Q2</calculatedColumnFormula>
    </tableColumn>
    <tableColumn id="29" xr3:uid="{E8C48AA5-B46C-2B45-A76E-AD0F1843104A}" name="Receita MUVX Estimada _x000a_(2%)" dataDxfId="181">
      <calculatedColumnFormula>Table15313[[#This Row],[Faturamento Estimado]]*5%</calculatedColumnFormula>
    </tableColumn>
    <tableColumn id="17" xr3:uid="{43E4A4DA-3F72-E64A-8F37-C5E35FBF0A9B}" name="Média Real Alunos _x000a_Ativos Personal" dataDxfId="180">
      <calculatedColumnFormula>Table15313[[#This Row],[Média Alunos Estimada 
Total Personal]]-(Table15313[[#This Row],[Tx. % Real Alunos 
não ativados]]*Table15313[[#This Row],[Média Alunos Estimada 
Total Personal]])</calculatedColumnFormula>
    </tableColumn>
    <tableColumn id="7" xr3:uid="{56D32CA0-B36C-1E40-8215-1BC2BC12E4C9}" name="Tx. % Real Alunos _x000a_não ativados"/>
    <tableColumn id="6" xr3:uid="{ADECD36C-A12C-364C-BA46-29D7C0D1849C}" name="Média Real por Personal"/>
    <tableColumn id="31" xr3:uid="{FE10DBF5-1D38-AC43-9D4B-66E1775A8EAB}" name="Total Real _x000a_Usuários " dataDxfId="179">
      <calculatedColumnFormula>Table15313[[#This Row],[Média Real Alunos 
Ativos Personal]]*Table15313[[#This Row],[Personais 
Ativos Mês]]</calculatedColumnFormula>
    </tableColumn>
    <tableColumn id="5" xr3:uid="{1410AAAC-C321-FD4E-8D48-389B9C6576DD}" name="Faturamento _x000a_Real Bruto"/>
    <tableColumn id="8" xr3:uid="{83B105A8-3056-D341-B475-6463F1C14592}" name="Receita MUVX _x000a_(2%)"/>
    <tableColumn id="10" xr3:uid="{55B8708E-A76F-674A-BA7E-6712271FCA27}" name="Faturamento Real Acumulado"/>
    <tableColumn id="11" xr3:uid="{F61906A0-9DD5-C24D-9C6A-C6D5B1729BF3}" name="Receita MUVX Acumulada"/>
    <tableColumn id="12" xr3:uid="{CCCA526A-7905-064C-B706-A34AA8384ED7}" name="Investimento Acumulado"/>
    <tableColumn id="13" xr3:uid="{991DA1F4-7810-AD4F-9647-74407D4CEDEB}" name="ROI"/>
    <tableColumn id="14" xr3:uid="{70413596-566C-BE46-AAB3-63D12A680111}" name="ROI Acumula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6B18297-4962-6A40-B19E-9CAC9115BCB8}" name="Table153714" displayName="Table153714" ref="A22:AH39" totalsRowShown="0" headerRowBorderDxfId="177" tableBorderDxfId="178">
  <autoFilter ref="A22:AH39" xr:uid="{82D964C4-7993-8C44-8463-0774E30E95D9}"/>
  <tableColumns count="34">
    <tableColumn id="1" xr3:uid="{C9432443-6AEA-FC47-8CB0-4678C87CD0A2}" name="Mês"/>
    <tableColumn id="9" xr3:uid="{5E1AFCD8-FE62-8C46-BB35-40B0628F03C0}" name="Investimento no Mês _x000a_(Growth) // 15%" dataDxfId="176"/>
    <tableColumn id="26" xr3:uid="{3BB9A7FF-5032-8B48-A5C7-48BF797BBA85}" name="CPL _x000a_(cadastro)"/>
    <tableColumn id="27" xr3:uid="{3818A74E-8361-B945-A4EE-7638028DB426}" name="Novos Cadastros _x000a_LP" dataDxfId="175">
      <calculatedColumnFormula>Table153714[[#This Row],[Investimento no Mês 
(Growth) // 15%]]/Table153714[[#This Row],[CPL 
(cadastro)]]</calculatedColumnFormula>
    </tableColumn>
    <tableColumn id="28" xr3:uid="{00057525-D21D-3347-9488-47504232534D}" name="Tx. % Install" dataDxfId="174">
      <calculatedColumnFormula>Table153714[[#This Row],[Novos Personais Ativados]]/Table153714[[#This Row],[Novos Cadastros 
LP]]</calculatedColumnFormula>
    </tableColumn>
    <tableColumn id="43" xr3:uid="{08C4771A-432F-6849-8877-9D1C44A3E3DB}" name="Novos Installs no App" dataDxfId="173">
      <calculatedColumnFormula>Table153714[[#This Row],[Novos Cadastros 
LP]]*Table153714[[#This Row],[Tx. % Install]]</calculatedColumnFormula>
    </tableColumn>
    <tableColumn id="44" xr3:uid="{22422825-A8A5-8741-A9A6-0FD027D5C344}" name="Tx % Ativações" dataDxfId="172">
      <calculatedColumnFormula>G64</calculatedColumnFormula>
    </tableColumn>
    <tableColumn id="45" xr3:uid="{0189E80F-B566-9E48-9D5D-0F382A97BD37}" name="Novos Personais Habilitados" dataDxfId="171">
      <calculatedColumnFormula>Table153714[[#This Row],[Novos Installs no App]]*Table153714[[#This Row],[Tx % Ativações]]</calculatedColumnFormula>
    </tableColumn>
    <tableColumn id="46" xr3:uid="{7226B42C-4B6B-1A4E-B4F1-6DB4F751CE93}" name="Tx % de Conversão" dataDxfId="170">
      <calculatedColumnFormula>I64</calculatedColumnFormula>
    </tableColumn>
    <tableColumn id="24" xr3:uid="{7C7B4DE0-4E54-BF4D-8B33-A46DC4961E8B}" name="Cadastros Evento Presencial" dataDxfId="169">
      <calculatedColumnFormula>J64*50%</calculatedColumnFormula>
    </tableColumn>
    <tableColumn id="32" xr3:uid="{CFB6367A-DAF2-A341-BB94-42A42469771D}" name="Tx % Ativação Presencial" dataDxfId="168">
      <calculatedColumnFormula>K64</calculatedColumnFormula>
    </tableColumn>
    <tableColumn id="2" xr3:uid="{1E853234-E248-EC43-A4C3-1663A4BEB684}" name="Novos Personais Ativados"/>
    <tableColumn id="21" xr3:uid="{0F2967FB-6ECD-3B42-8CE8-F9FD45628730}" name="Personais _x000a_Totais" dataDxfId="167">
      <calculatedColumnFormula>Table153714[[#This Row],[Personais 
Ativos Mês]]+Table153714[[#This Row],[Qtde. Churn 
no Mês]]</calculatedColumnFormula>
    </tableColumn>
    <tableColumn id="19" xr3:uid="{76234DCE-360C-B943-B4BC-F0B4C1A5A32E}" name="CAC _x000a_(ativação)"/>
    <tableColumn id="16" xr3:uid="{4D202270-AA98-F14B-83C5-B71F9996F6B1}" name="Tx. % Churn" dataDxfId="166">
      <calculatedColumnFormula>Table153714[[#This Row],[Qtde. Churn 
no Mês]]/Table153714[[#This Row],[Personais 
Ativos Mês]]</calculatedColumnFormula>
    </tableColumn>
    <tableColumn id="4" xr3:uid="{FBDD2BEC-08BA-1B4F-995F-AC8A568CFE0C}" name="Qtde. Churn _x000a_no Mês"/>
    <tableColumn id="3" xr3:uid="{04103ED0-2BA5-BB40-A553-B9CC4F8F69A6}" name="Personais _x000a_Ativos Mês"/>
    <tableColumn id="15" xr3:uid="{461608E8-FFF1-C74F-BE8D-F61F93876A0F}" name="Média Alunos Estimada _x000a_Total Personal"/>
    <tableColumn id="25" xr3:uid="{71E27794-1CCB-F144-82D3-ACC4B28C8AA0}" name="Ticket Médio Aluno Personal" dataDxfId="165">
      <calculatedColumnFormula>Table153714[[#This Row],[Média Faturamento
Estimada Personal]]/Table153714[[#This Row],[Média Alunos Estimada 
Total Personal]]</calculatedColumnFormula>
    </tableColumn>
    <tableColumn id="20" xr3:uid="{12E47957-1F89-1542-AD13-6AA2F04710B3}" name="Média Faturamento_x000a_Estimada Personal"/>
    <tableColumn id="30" xr3:uid="{4AAB140E-349E-5348-8644-BEA81213CDD2}" name="Total Usuários Estimado" dataDxfId="164">
      <calculatedColumnFormula>Table153714[[#This Row],[Personais 
Ativos Mês]]+(Table153714[[#This Row],[Personais 
Ativos Mês]]*Table153714[[#This Row],[Média Alunos Estimada 
Total Personal]])</calculatedColumnFormula>
    </tableColumn>
    <tableColumn id="18" xr3:uid="{87F5708B-D688-1048-92D0-94B20B9CABA3}" name="Faturamento Estimado" dataDxfId="163">
      <calculatedColumnFormula>Table153714[[#This Row],[Média Faturamento
Estimada Personal]]*Q22</calculatedColumnFormula>
    </tableColumn>
    <tableColumn id="29" xr3:uid="{BCD45B14-F63E-5A44-8617-3D2E27C58294}" name="Receita MUVX Estimada _x000a_(2%)" dataDxfId="162">
      <calculatedColumnFormula>Table153714[[#This Row],[Faturamento Estimado]]*5%</calculatedColumnFormula>
    </tableColumn>
    <tableColumn id="17" xr3:uid="{4ABC826E-3782-6B48-84C1-51FB690215AC}" name="Média Real Alunos _x000a_Ativos Personal" dataDxfId="161">
      <calculatedColumnFormula>Table153714[[#This Row],[Média Alunos Estimada 
Total Personal]]-(Table153714[[#This Row],[Tx. % Real Alunos 
não ativados]]*Table153714[[#This Row],[Média Alunos Estimada 
Total Personal]])</calculatedColumnFormula>
    </tableColumn>
    <tableColumn id="7" xr3:uid="{E417CA86-4A23-924B-B0A1-70CD0C733F01}" name="Tx. % Real Alunos _x000a_não ativados"/>
    <tableColumn id="6" xr3:uid="{7C9A3C22-EC5F-B54E-B907-1B8E56B0A352}" name="Média Real por Personal"/>
    <tableColumn id="31" xr3:uid="{8EDFC08A-9E30-8445-A887-3DC8672C6E38}" name="Total Real _x000a_Usuários " dataDxfId="160">
      <calculatedColumnFormula>Table153714[[#This Row],[Média Real Alunos 
Ativos Personal]]*Table153714[[#This Row],[Personais 
Ativos Mês]]</calculatedColumnFormula>
    </tableColumn>
    <tableColumn id="5" xr3:uid="{58C3B26B-2AA1-1C46-86B9-FD5BE4C460F5}" name="Faturamento _x000a_Real Bruto"/>
    <tableColumn id="8" xr3:uid="{0028CB81-BCC5-1447-AA5C-36951D5EEDF0}" name="Receita MUVX _x000a_(2%)"/>
    <tableColumn id="10" xr3:uid="{501CEFAB-6CC7-9D4D-AB28-E4144460267D}" name="Faturamento Real Acumulado"/>
    <tableColumn id="11" xr3:uid="{00A59B88-93ED-5749-BC91-F2E30DDD843F}" name="Receita MUVX Acumulada"/>
    <tableColumn id="12" xr3:uid="{19ACCABE-FEC2-3046-9830-28D08C4748C6}" name="Investimento Acumulado"/>
    <tableColumn id="13" xr3:uid="{4CCA3753-8DBB-3849-93B5-89C77D7CE7A6}" name="ROI"/>
    <tableColumn id="14" xr3:uid="{73372526-B1FC-8744-925B-0A3082A45DAD}" name="ROI Acumulado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38205B4-6C17-6447-8436-F89D2B85E141}" name="Table153815" displayName="Table153815" ref="A42:AH59" totalsRowShown="0" headerRowBorderDxfId="158" tableBorderDxfId="159">
  <autoFilter ref="A42:AH59" xr:uid="{5F321288-A7F0-6540-9D6C-0480B55CAEFD}"/>
  <tableColumns count="34">
    <tableColumn id="1" xr3:uid="{10B02652-2DC5-4143-974E-03BA6903F0F0}" name="Mês"/>
    <tableColumn id="9" xr3:uid="{6C39F922-87C7-6D45-97D8-36CFF5826696}" name="Investimento no Mês_x000a_ (Growth) // 80%" dataDxfId="157"/>
    <tableColumn id="26" xr3:uid="{9BD7FC15-BB6B-4F48-82E4-C59CCE873CAD}" name="CPL _x000a_(cadastro)"/>
    <tableColumn id="27" xr3:uid="{25702F75-01ED-1548-9D57-ED16D886EF35}" name="Novos Cadastros _x000a_LP" dataDxfId="156">
      <calculatedColumnFormula>Table153815[[#This Row],[Investimento no Mês
 (Growth) // 80%]]/Table153815[[#This Row],[CPL 
(cadastro)]]</calculatedColumnFormula>
    </tableColumn>
    <tableColumn id="28" xr3:uid="{D9AF24CF-E7D4-6745-A8BF-464C13C8F39D}" name="Tx. % Install" dataDxfId="155">
      <calculatedColumnFormula>Table153815[[#This Row],[Novos Personais Ativados]]/Table153815[[#This Row],[Novos Cadastros 
LP]]</calculatedColumnFormula>
    </tableColumn>
    <tableColumn id="34" xr3:uid="{14452061-BCC8-1340-9D23-B2E9F44D1908}" name="Novos Installs no App" dataDxfId="154">
      <calculatedColumnFormula>Table153815[[#This Row],[Novos Cadastros 
LP]]*Table153815[[#This Row],[Tx. % Install]]</calculatedColumnFormula>
    </tableColumn>
    <tableColumn id="35" xr3:uid="{1BF93738-F6FD-4A42-B589-84C2DF0FD250}" name="Tx % Ativações" dataDxfId="153">
      <calculatedColumnFormula>G64</calculatedColumnFormula>
    </tableColumn>
    <tableColumn id="36" xr3:uid="{2C7F15B6-108A-DD47-931B-96A91B171B13}" name="Novos Personais Habilitados" dataDxfId="152">
      <calculatedColumnFormula>Table153815[[#This Row],[Novos Installs no App]]*Table153815[[#This Row],[Tx % Ativações]]</calculatedColumnFormula>
    </tableColumn>
    <tableColumn id="37" xr3:uid="{CC8940F4-B4EB-1D40-99F6-2EAD9EA68237}" name="Tx % de Conversão" dataDxfId="151">
      <calculatedColumnFormula>I64</calculatedColumnFormula>
    </tableColumn>
    <tableColumn id="24" xr3:uid="{00775AEB-AFD3-194A-84BD-057DEF32A34D}" name="Cadastros Evento Presencial" dataDxfId="150">
      <calculatedColumnFormula>J64*30%</calculatedColumnFormula>
    </tableColumn>
    <tableColumn id="32" xr3:uid="{978EFBB7-E9DD-B843-9512-AFDECF93B0FC}" name="Tx % Ativação Presencial" dataDxfId="149">
      <calculatedColumnFormula>K64</calculatedColumnFormula>
    </tableColumn>
    <tableColumn id="2" xr3:uid="{DB06E4C0-25AF-284C-8D29-D181CF62F2E2}" name="Novos Personais Ativados"/>
    <tableColumn id="21" xr3:uid="{8F48A226-7BE0-A14C-9A11-59977243987F}" name="Personais _x000a_Totais" dataDxfId="148">
      <calculatedColumnFormula>Table153815[[#This Row],[Personais 
Ativos Mês]]+Table153815[[#This Row],[Qtde. Churn 
no Mês]]</calculatedColumnFormula>
    </tableColumn>
    <tableColumn id="19" xr3:uid="{8DC7A2F5-809E-1340-A9C4-91CA34CF3888}" name="CAC _x000a_(ativação)"/>
    <tableColumn id="16" xr3:uid="{5FF85256-2A62-694C-8017-D989E5E8C0CC}" name="Tx. % Churn" dataDxfId="147">
      <calculatedColumnFormula>Table153815[[#This Row],[Qtde. Churn 
no Mês]]/Table153815[[#This Row],[Personais 
Ativos Mês]]</calculatedColumnFormula>
    </tableColumn>
    <tableColumn id="4" xr3:uid="{FF7C6523-9809-AC4C-A4D1-CE7694B95AEE}" name="Qtde. Churn _x000a_no Mês"/>
    <tableColumn id="3" xr3:uid="{3A51AF71-4899-6940-8EBE-1389A50A57E3}" name="Personais _x000a_Ativos Mês"/>
    <tableColumn id="15" xr3:uid="{C2ADFFE3-11E9-C749-911B-BA5DE11F637A}" name="Média Alunos Estimada _x000a_Total Personal"/>
    <tableColumn id="25" xr3:uid="{C9AB0A7D-2B24-B74E-AE0D-E41A39658B9E}" name="Ticket Médio Aluno Personal" dataDxfId="146">
      <calculatedColumnFormula>Table153815[[#This Row],[Média Faturamento
Estimada Personal]]/Table153815[[#This Row],[Média Alunos Estimada 
Total Personal]]</calculatedColumnFormula>
    </tableColumn>
    <tableColumn id="20" xr3:uid="{4D59CF95-4E74-6C4F-849C-296AC97AE880}" name="Média Faturamento_x000a_Estimada Personal"/>
    <tableColumn id="30" xr3:uid="{ECA637C0-BC70-E444-8745-39F0463CFF81}" name="Total Usuários Estimado" dataDxfId="145">
      <calculatedColumnFormula>Table153815[[#This Row],[Personais 
Ativos Mês]]+(Table153815[[#This Row],[Personais 
Ativos Mês]]*Table153815[[#This Row],[Média Alunos Estimada 
Total Personal]])</calculatedColumnFormula>
    </tableColumn>
    <tableColumn id="18" xr3:uid="{1ADE5799-5325-694A-B353-C615F9CDC750}" name="Faturamento Estimado" dataDxfId="144">
      <calculatedColumnFormula>Table153815[[#This Row],[Média Faturamento
Estimada Personal]]*Q42</calculatedColumnFormula>
    </tableColumn>
    <tableColumn id="29" xr3:uid="{7A1D2E5D-EC45-F841-AE2E-304321E45F6D}" name="Receita MUVX Estimada _x000a_(2%)" dataDxfId="143">
      <calculatedColumnFormula>Table153815[[#This Row],[Faturamento Estimado]]*5%</calculatedColumnFormula>
    </tableColumn>
    <tableColumn id="17" xr3:uid="{6D6D03ED-1270-E84F-913D-683B134B744A}" name="Média Real Alunos _x000a_Ativos Personal" dataDxfId="142">
      <calculatedColumnFormula>Table153815[[#This Row],[Média Alunos Estimada 
Total Personal]]-(Table153815[[#This Row],[Tx. % Real Alunos 
não ativados]]*Table153815[[#This Row],[Média Alunos Estimada 
Total Personal]])</calculatedColumnFormula>
    </tableColumn>
    <tableColumn id="7" xr3:uid="{4B6D9C52-6B96-9C48-BCA9-63CAE2A15EFF}" name="Tx. % Real Alunos _x000a_não ativados"/>
    <tableColumn id="6" xr3:uid="{CB38C9D5-9D5D-954C-BDD0-E31162F8E50C}" name="Média Real por Personal"/>
    <tableColumn id="31" xr3:uid="{A2ECFCEF-324C-3741-BAD4-819EE2EA07CE}" name="Total Real _x000a_Usuários " dataDxfId="141">
      <calculatedColumnFormula>Table153815[[#This Row],[Média Real Alunos 
Ativos Personal]]*Table153815[[#This Row],[Personais 
Ativos Mês]]</calculatedColumnFormula>
    </tableColumn>
    <tableColumn id="5" xr3:uid="{BA33B9EF-146F-6B44-A5E7-792C5CA87240}" name="Faturamento _x000a_Real Bruto"/>
    <tableColumn id="8" xr3:uid="{0AA816A9-55D8-8D45-9B25-3C09A1034F48}" name="Receita MUVX _x000a_(2%)"/>
    <tableColumn id="10" xr3:uid="{860DDE34-4518-CD46-AD01-9EFD05AFCB23}" name="Faturamento Real Acumulado"/>
    <tableColumn id="11" xr3:uid="{5844CC1E-035C-4749-921D-C18E7C5D4605}" name="Receita MUVX Acumulada"/>
    <tableColumn id="12" xr3:uid="{FBF4B4A3-96C3-7146-ABCA-734433044388}" name="Investimento Acumulado"/>
    <tableColumn id="13" xr3:uid="{AE9785AE-7A87-0748-BD6F-C7117A636EFB}" name="ROI"/>
    <tableColumn id="14" xr3:uid="{21AAF1EC-E8C4-404E-9B3D-0E69F372BF2C}" name="ROI Acumulado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48BE7B-E293-F845-B131-B890065915ED}" name="Table13" displayName="Table13" ref="A1:AF18" totalsRowShown="0" headerRowBorderDxfId="139" tableBorderDxfId="140">
  <autoFilter ref="A1:AF18" xr:uid="{B4BDA4A2-C38C-C14D-A62B-117BABA6383F}"/>
  <tableColumns count="32">
    <tableColumn id="1" xr3:uid="{F9119308-5DFD-D945-95E0-D3F7EE4DBF7C}" name="Mês"/>
    <tableColumn id="9" xr3:uid="{FE68A207-B8DF-6C4A-B029-2C90343D84CE}" name="Investimento no Mês (Growth ** 40%**" dataDxfId="138"/>
    <tableColumn id="26" xr3:uid="{059E1A41-5417-4B4B-BEE4-220A9B6500D2}" name="CPL _x000a_(cadastro)"/>
    <tableColumn id="27" xr3:uid="{67B57857-E244-1445-830A-B8088225FA65}" name="Novos Cadastros _x000a_no App Personal" dataDxfId="137">
      <calculatedColumnFormula>Table13[[#This Row],[Investimento no Mês (Growth ** 40%**]]/Table13[[#This Row],[CPL 
(cadastro)]]</calculatedColumnFormula>
    </tableColumn>
    <tableColumn id="28" xr3:uid="{49E540B7-4273-7048-B9F0-A048C88EEC5D}" name="Tx. % Ativação Personais (Conversão)" dataDxfId="136">
      <calculatedColumnFormula>Table13[[#This Row],[Novos Personais Ativados]]/Table13[[#This Row],[Novos Cadastros 
no App Personal]]</calculatedColumnFormula>
    </tableColumn>
    <tableColumn id="2" xr3:uid="{07B21DF6-664B-1847-9303-A039FC44C3C8}" name="Novos Personais Ativados"/>
    <tableColumn id="21" xr3:uid="{16EED60F-598F-D54D-B058-C63195C7C1FA}" name="Personais _x000a_Totais" dataDxfId="135">
      <calculatedColumnFormula>Table13[[#This Row],[Personais 
Ativos Mês]]+Table13[[#This Row],[Qtde. Churn 
no Mês]]</calculatedColumnFormula>
    </tableColumn>
    <tableColumn id="24" xr3:uid="{F0896C81-A1FC-374B-8782-7BCF6A6E84AF}" name="CAC _x000a_(ativação)2" dataDxfId="134">
      <calculatedColumnFormula>Table13[[#This Row],[Investimento no Mês (Growth ** 40%**]]/Table13[[#This Row],[Novos Personais Ativados]]</calculatedColumnFormula>
    </tableColumn>
    <tableColumn id="16" xr3:uid="{9E75BD3B-B7DF-6044-B7A5-46692CE4A614}" name="Tx. % Churn" dataDxfId="133">
      <calculatedColumnFormula>Table13[[#This Row],[Qtde. Churn 
no Mês]]/Table13[[#This Row],[Personais 
Ativos Mês]]</calculatedColumnFormula>
    </tableColumn>
    <tableColumn id="4" xr3:uid="{F7F049A6-4BC3-F94A-BC2F-E8649A2C5DE8}" name="Qtde. Churn _x000a_no Mês"/>
    <tableColumn id="3" xr3:uid="{4A67322B-ED35-9C4A-AA40-55682FBA363D}" name="Personais _x000a_Ativos Mês"/>
    <tableColumn id="15" xr3:uid="{8DDAF17F-A36F-1046-A7CC-F0375A0F2CB1}" name="Média Alunos Estimada _x000a_Total Personal"/>
    <tableColumn id="25" xr3:uid="{3D549601-7D26-4D4B-9D5F-3D967E2B86E5}" name="Ticket Médio Aluno Personal" dataDxfId="132">
      <calculatedColumnFormula>Table13[[#This Row],[Média Faturamento
Estimada Personal]]/Table13[[#This Row],[Média Alunos Estimada 
Total Personal]]</calculatedColumnFormula>
    </tableColumn>
    <tableColumn id="20" xr3:uid="{2411A3B5-0925-C941-BB50-F62475546D4A}" name="Média Faturamento_x000a_Estimada Personal"/>
    <tableColumn id="30" xr3:uid="{5E627141-1CBD-1448-B3D2-E949912CE9B3}" name="Total Usuários Estimado" dataDxfId="131">
      <calculatedColumnFormula>Table13[[#This Row],[Personais 
Ativos Mês]]+(Table13[[#This Row],[Personais 
Ativos Mês]]*Table13[[#This Row],[Média Alunos Estimada 
Total Personal]])</calculatedColumnFormula>
    </tableColumn>
    <tableColumn id="18" xr3:uid="{7F65FEF2-CADE-C842-9A4C-1052BBB73AB8}" name="Faturamento Estimado" dataDxfId="130">
      <calculatedColumnFormula>Table13[[#This Row],[Média Faturamento
Estimada Personal]]*K1</calculatedColumnFormula>
    </tableColumn>
    <tableColumn id="29" xr3:uid="{CEACFD48-EA3E-A24A-96FE-D80A2B511A30}" name="Receita MUVX (7,5%) Estimada" dataDxfId="129">
      <calculatedColumnFormula>Table13[[#This Row],[Faturamento Estimado]]*5%</calculatedColumnFormula>
    </tableColumn>
    <tableColumn id="19" xr3:uid="{06B81F71-E002-FA49-8A9D-D68A649D73EF}" name="Receita MUVX (Tarifa Alunos R$2,99) Estimada" dataDxfId="128">
      <calculatedColumnFormula>Table13[[#This Row],[Total Usuários Estimado]]*1.99</calculatedColumnFormula>
    </tableColumn>
    <tableColumn id="17" xr3:uid="{2C725CA5-A68E-2B4B-B32A-78FECC8A61B5}" name="Média Real Alunos _x000a_Ativos Personal" dataDxfId="127">
      <calculatedColumnFormula>Table13[[#This Row],[Média Alunos Estimada 
Total Personal]]-(Table13[[#This Row],[Tx. % Real Alunos 
não ativados]]*Table13[[#This Row],[Média Alunos Estimada 
Total Personal]])</calculatedColumnFormula>
    </tableColumn>
    <tableColumn id="7" xr3:uid="{E6F7FD5F-9731-7645-902B-A8ABC8D5CF89}" name="Tx. % Real Alunos _x000a_não ativados"/>
    <tableColumn id="6" xr3:uid="{09EABC7B-D8EC-D64C-9CD6-C41C29D870C5}" name="Média Real por Personal"/>
    <tableColumn id="31" xr3:uid="{AC80639F-330D-6544-95F2-6EFC098C22A5}" name="Total Real _x000a_Usuários " dataDxfId="126">
      <calculatedColumnFormula>Table13[[#This Row],[Média Real Alunos 
Ativos Personal]]*Table13[[#This Row],[Personais 
Ativos Mês]]</calculatedColumnFormula>
    </tableColumn>
    <tableColumn id="35" xr3:uid="{82079F5B-EBAF-0444-9597-8A0BC22F3033}" name=" Media Real de Infra AWS" dataDxfId="125"/>
    <tableColumn id="34" xr3:uid="{BBB85CED-FB8C-2E41-9B97-01DA7C3C6F17}" name=" Media Real de Infra AWS (usuário)" dataDxfId="124"/>
    <tableColumn id="5" xr3:uid="{C47AD400-EFB7-FF48-B764-E11275F69802}" name="Faturamento _x000a_Real Bruto"/>
    <tableColumn id="8" xr3:uid="{3E933529-4EEB-8146-A6EE-0CB3A160E4F5}" name="Receita _x000a_MUVX (7,5%)"/>
    <tableColumn id="22" xr3:uid="{3145FF37-6185-BB4F-A395-F6247C2F3DF1}" name="Receita MUVX (Tarifa Alunos R$3,99)" dataDxfId="123">
      <calculatedColumnFormula>Table13[[#This Row],[Total Real 
Usuários ]]*0.199</calculatedColumnFormula>
    </tableColumn>
    <tableColumn id="10" xr3:uid="{8AEACA4F-5AE3-754E-8733-1EB23E5DD0AA}" name="Faturamento Real Acumulado"/>
    <tableColumn id="11" xr3:uid="{BDCE8B3D-EC51-CB4F-83AD-3C20548C06FD}" name="Receita MUVX Acumulada"/>
    <tableColumn id="12" xr3:uid="{CCC00AE2-E051-E34C-BEA5-0F0FC8C3600D}" name="Investimento Acumulado"/>
    <tableColumn id="13" xr3:uid="{E83FAEFE-63C9-6945-B7C1-37A6E3E3CB70}" name="ROI"/>
    <tableColumn id="14" xr3:uid="{D1697A42-DA92-D448-B70A-CC5EA382EF89}" name="ROI Acumulado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2B5EBD-9F32-4546-BB98-57BF3F0CE2E5}" name="Table137" displayName="Table137" ref="A21:AF38" totalsRowShown="0" headerRowBorderDxfId="121" tableBorderDxfId="122">
  <autoFilter ref="A21:AF38" xr:uid="{039E0515-798C-084C-8B18-0ED1BA71511C}"/>
  <tableColumns count="32">
    <tableColumn id="1" xr3:uid="{0A60D844-7921-6E46-9379-C69CD7561158}" name="Mês"/>
    <tableColumn id="9" xr3:uid="{6E3C2532-79C6-8248-A30D-8A9F3125976D}" name="Investimento no Mês (Growth) ** 50%**" dataDxfId="120"/>
    <tableColumn id="26" xr3:uid="{40B45932-F3BF-1945-9AB3-536EE598E32A}" name="CPL _x000a_(cadastro)"/>
    <tableColumn id="27" xr3:uid="{BCEEAB35-06EE-0341-BBA0-B05B72EAE5A8}" name="Novos Cadastros _x000a_no App Personal" dataDxfId="119">
      <calculatedColumnFormula>Table137[[#This Row],[Investimento no Mês (Growth) ** 50%**]]/Table137[[#This Row],[CPL 
(cadastro)]]</calculatedColumnFormula>
    </tableColumn>
    <tableColumn id="28" xr3:uid="{F0887ABE-5162-7640-B92E-744789DA30D7}" name="Tx. % Ativação Personais (Conversão)" dataDxfId="118">
      <calculatedColumnFormula>Table137[[#This Row],[Novos Personais Ativados]]/Table137[[#This Row],[Novos Cadastros 
no App Personal]]</calculatedColumnFormula>
    </tableColumn>
    <tableColumn id="2" xr3:uid="{A2020E87-4D72-0F41-86E2-9C83ADDE2D3F}" name="Novos Personais Ativados"/>
    <tableColumn id="21" xr3:uid="{36C9115D-AD4A-5F43-9CE5-3EA36F0CA984}" name="Personais _x000a_Totais" dataDxfId="117">
      <calculatedColumnFormula>Table137[[#This Row],[Personais 
Ativos Mês]]+Table137[[#This Row],[Qtde. Churn 
no Mês]]</calculatedColumnFormula>
    </tableColumn>
    <tableColumn id="24" xr3:uid="{7EE969B6-A0D4-214A-AAFF-E6ED8BDA8305}" name="CAC _x000a_(ativação)2" dataDxfId="116">
      <calculatedColumnFormula>Table137[[#This Row],[Investimento no Mês (Growth) ** 50%**]]/#REF!</calculatedColumnFormula>
    </tableColumn>
    <tableColumn id="16" xr3:uid="{5EF33995-44D3-204A-9A40-32F7538D413B}" name="Tx. % Churn" dataDxfId="115">
      <calculatedColumnFormula>Table137[[#This Row],[Qtde. Churn 
no Mês]]/Table137[[#This Row],[Personais 
Ativos Mês]]</calculatedColumnFormula>
    </tableColumn>
    <tableColumn id="4" xr3:uid="{EAFBF33B-964D-1F4B-AA47-137574493602}" name="Qtde. Churn _x000a_no Mês"/>
    <tableColumn id="3" xr3:uid="{34133080-32FB-B141-B2D1-1D364B7875AF}" name="Personais _x000a_Ativos Mês"/>
    <tableColumn id="15" xr3:uid="{6E10C000-0A0A-6840-A93D-B713017C36F2}" name="Média Alunos Estimada _x000a_Total Personal"/>
    <tableColumn id="25" xr3:uid="{B9CE8602-D0D2-B64F-847B-0A228CBE5CF6}" name="Ticket Médio Aluno Personal" dataDxfId="114">
      <calculatedColumnFormula>Table137[[#This Row],[Média Faturamento
Estimada Personal]]/Table137[[#This Row],[Média Alunos Estimada 
Total Personal]]</calculatedColumnFormula>
    </tableColumn>
    <tableColumn id="20" xr3:uid="{D5F003F2-C53E-3949-8356-61916EF46553}" name="Média Faturamento_x000a_Estimada Personal"/>
    <tableColumn id="30" xr3:uid="{68BDE850-6D7C-F14E-8DE4-D618A29AD399}" name="Total Usuários Estimado" dataDxfId="113">
      <calculatedColumnFormula>Table137[[#This Row],[Personais 
Ativos Mês]]+(Table137[[#This Row],[Personais 
Ativos Mês]]*Table137[[#This Row],[Média Alunos Estimada 
Total Personal]])</calculatedColumnFormula>
    </tableColumn>
    <tableColumn id="18" xr3:uid="{E2E0AC8E-99FA-E842-B632-673A0CA3F74C}" name="Faturamento Estimado" dataDxfId="112">
      <calculatedColumnFormula>Table137[[#This Row],[Média Faturamento
Estimada Personal]]*K21</calculatedColumnFormula>
    </tableColumn>
    <tableColumn id="29" xr3:uid="{D2102A95-648F-4141-9163-99E5BC936933}" name="Receita MUVX (5%) Estimada" dataDxfId="111">
      <calculatedColumnFormula>Table137[[#This Row],[Faturamento Estimado]]*5%</calculatedColumnFormula>
    </tableColumn>
    <tableColumn id="19" xr3:uid="{5E1BE71B-181C-4F4C-9699-09245C865963}" name="Receita MUVX (Tarifa Alunos R$2,99) Estimada" dataDxfId="110">
      <calculatedColumnFormula>Table137[[#This Row],[Total Usuários Estimado]]*1.99</calculatedColumnFormula>
    </tableColumn>
    <tableColumn id="17" xr3:uid="{A5C165A7-2551-4847-BE82-66A10FFA195A}" name="Média Real Alunos _x000a_Ativos Personal" dataDxfId="109">
      <calculatedColumnFormula>Table137[[#This Row],[Média Alunos Estimada 
Total Personal]]-(Table137[[#This Row],[Tx. % Real Alunos 
não ativados]]*Table137[[#This Row],[Média Alunos Estimada 
Total Personal]])</calculatedColumnFormula>
    </tableColumn>
    <tableColumn id="7" xr3:uid="{9B85B580-761E-3E46-98D5-654CC1DFC996}" name="Tx. % Real Alunos _x000a_não ativados"/>
    <tableColumn id="6" xr3:uid="{A8E82E14-8A27-BD4F-9E13-CB5848661BF6}" name="Média Real por Personal"/>
    <tableColumn id="31" xr3:uid="{228B0E21-E7B6-A24F-A449-28914932C96C}" name="Total Real _x000a_Usuários " dataDxfId="108">
      <calculatedColumnFormula>Table137[[#This Row],[Média Real Alunos 
Ativos Personal]]*Table137[[#This Row],[Personais 
Ativos Mês]]</calculatedColumnFormula>
    </tableColumn>
    <tableColumn id="35" xr3:uid="{3A345C5D-AE21-3F43-89BE-54FB81C9DA9A}" name=" Media Real de Infra AWS" dataDxfId="107"/>
    <tableColumn id="34" xr3:uid="{CD122874-1798-1B4C-BCF9-17A558C8424A}" name=" Media Real de Infra AWS (usuário)" dataDxfId="106"/>
    <tableColumn id="5" xr3:uid="{7BA3BC64-67C5-9B40-96DA-BDE3D69F500B}" name="Faturamento _x000a_Real Bruto"/>
    <tableColumn id="8" xr3:uid="{FBD36AED-DE0D-6C45-BD18-03210DFD3996}" name="Receita _x000a_MUVX (7,5%)"/>
    <tableColumn id="22" xr3:uid="{63A11559-791F-8245-9D3E-47A8FAF94918}" name="Receita MUVX (Tarifa Alunos R$3,99)" dataDxfId="105">
      <calculatedColumnFormula>Table137[[#This Row],[Total Real 
Usuários ]]*0.199</calculatedColumnFormula>
    </tableColumn>
    <tableColumn id="10" xr3:uid="{77D54B67-55C0-B245-81CB-F7B63639AE2A}" name="Faturamento Real Acumulado"/>
    <tableColumn id="11" xr3:uid="{FE819166-CE28-6D4D-B9DA-AB368A767EE3}" name="Receita MUVX Acumulada"/>
    <tableColumn id="12" xr3:uid="{42DA0705-5AB8-2443-A3CC-80120EEC55FD}" name="Investimento Acumulado"/>
    <tableColumn id="13" xr3:uid="{A1760290-E079-E740-8531-A3814E7D2640}" name="ROI"/>
    <tableColumn id="14" xr3:uid="{07FC486D-7733-AC48-B894-A3CB50DEB941}" name="ROI Acumulado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975DEC-1E08-A447-A25A-8D362C476A71}" name="Table1378" displayName="Table1378" ref="A41:AF58" totalsRowShown="0" headerRowBorderDxfId="103" tableBorderDxfId="104">
  <autoFilter ref="A41:AF58" xr:uid="{5553BA5A-26AE-EA45-92BF-1D8118318D74}"/>
  <tableColumns count="32">
    <tableColumn id="1" xr3:uid="{70AA50EE-8A24-F14D-8CA9-08DEF4FEBFE5}" name="Mês"/>
    <tableColumn id="9" xr3:uid="{C9366FE9-EEEA-3C4B-B659-32464396A78C}" name="Investimento no Mês (Growth) ** 10%**" dataDxfId="102"/>
    <tableColumn id="26" xr3:uid="{B321D6D5-568B-8D45-8927-D15162981391}" name="CPL _x000a_(cadastro)"/>
    <tableColumn id="27" xr3:uid="{0E8A3929-AC9A-C646-BC3F-51527EF4DC5D}" name="Novos Cadastros _x000a_no App Personal" dataDxfId="101">
      <calculatedColumnFormula>Table1378[[#This Row],[Investimento no Mês (Growth) ** 10%**]]/Table1378[[#This Row],[CPL 
(cadastro)]]</calculatedColumnFormula>
    </tableColumn>
    <tableColumn id="28" xr3:uid="{7C3F2468-0F8C-104B-8BED-6551EB3EC066}" name="Tx. % Ativação Personais (Conversão)" dataDxfId="100">
      <calculatedColumnFormula>Table1378[[#This Row],[Novos Personais Ativados]]/Table1378[[#This Row],[Novos Cadastros 
no App Personal]]</calculatedColumnFormula>
    </tableColumn>
    <tableColumn id="2" xr3:uid="{59409C6B-7311-684C-B3BA-A1D78632C7E0}" name="Novos Personais Ativados"/>
    <tableColumn id="21" xr3:uid="{BAF91312-C8D6-D54B-ACAE-44C84BBCEC86}" name="Personais _x000a_Totais" dataDxfId="99">
      <calculatedColumnFormula>Table1378[[#This Row],[Personais 
Ativos Mês]]+Table1378[[#This Row],[Qtde. Churn 
no Mês]]</calculatedColumnFormula>
    </tableColumn>
    <tableColumn id="37" xr3:uid="{9ADF8761-6E81-3247-A592-314022A97285}" name="CAC _x000a_(ativação)2" dataDxfId="98">
      <calculatedColumnFormula>Table1378[[#This Row],[Investimento no Mês (Growth) ** 10%**]]/Table1378[[#This Row],[Novos Personais Ativados]]</calculatedColumnFormula>
    </tableColumn>
    <tableColumn id="16" xr3:uid="{A341FD24-9628-D645-A138-32C5C29049B4}" name="Tx. % Churn" dataDxfId="97">
      <calculatedColumnFormula>Table1378[[#This Row],[Qtde. Churn 
no Mês]]/Table1378[[#This Row],[Personais 
Ativos Mês]]</calculatedColumnFormula>
    </tableColumn>
    <tableColumn id="4" xr3:uid="{C1AB9652-8DBA-F140-8066-D7E6C05AEA51}" name="Qtde. Churn _x000a_no Mês"/>
    <tableColumn id="3" xr3:uid="{60667270-5296-E44A-9941-871E63FDE24A}" name="Personais _x000a_Ativos Mês"/>
    <tableColumn id="15" xr3:uid="{1775711A-EC4F-4349-864F-FFDBC31A2907}" name="Média Alunos Estimada _x000a_Total Personal"/>
    <tableColumn id="25" xr3:uid="{E2D5D357-0EDC-B04A-B71E-CE201E447FD1}" name="Ticket Médio Aluno Personal" dataDxfId="96">
      <calculatedColumnFormula>Table1378[[#This Row],[Média Faturamento
Estimada Personal]]/Table1378[[#This Row],[Média Alunos Estimada 
Total Personal]]</calculatedColumnFormula>
    </tableColumn>
    <tableColumn id="20" xr3:uid="{6FA465E8-592D-6943-9BBE-BAB248D16F42}" name="Média Faturamento_x000a_Estimada Personal"/>
    <tableColumn id="30" xr3:uid="{9486DAE8-1F87-3E4C-96AA-3B6F4DCB4F89}" name="Total Usuários Estimado" dataDxfId="95">
      <calculatedColumnFormula>Table1378[[#This Row],[Personais 
Ativos Mês]]+(Table1378[[#This Row],[Personais 
Ativos Mês]]*Table1378[[#This Row],[Média Alunos Estimada 
Total Personal]])</calculatedColumnFormula>
    </tableColumn>
    <tableColumn id="18" xr3:uid="{15EFDD62-2948-F44C-A419-27C79462E40A}" name="Faturamento Estimado" dataDxfId="94">
      <calculatedColumnFormula>Table1378[[#This Row],[Média Faturamento
Estimada Personal]]*K41</calculatedColumnFormula>
    </tableColumn>
    <tableColumn id="29" xr3:uid="{89D9B1BC-A2CD-9F48-8D94-C5E7DC9DBD0D}" name="Receita MUVX (5%) Estimada" dataDxfId="93">
      <calculatedColumnFormula>Table1378[[#This Row],[Faturamento Estimado]]*5%</calculatedColumnFormula>
    </tableColumn>
    <tableColumn id="19" xr3:uid="{5C2A3E65-514F-F342-A92F-18607583CBDD}" name="Receita MUVX (Tarifa Alunos R$2,99) Estimada" dataDxfId="92">
      <calculatedColumnFormula>Table1378[[#This Row],[Total Usuários Estimado]]*1.99</calculatedColumnFormula>
    </tableColumn>
    <tableColumn id="17" xr3:uid="{2D945B76-76F4-DD4C-A241-231F0268566C}" name="Média Real Alunos _x000a_Ativos Personal" dataDxfId="91">
      <calculatedColumnFormula>Table1378[[#This Row],[Média Alunos Estimada 
Total Personal]]-(Table1378[[#This Row],[Tx. % Real Alunos 
não ativados]]*Table1378[[#This Row],[Média Alunos Estimada 
Total Personal]])</calculatedColumnFormula>
    </tableColumn>
    <tableColumn id="7" xr3:uid="{425AB659-C707-2A40-9625-F2B4016B63FD}" name="Tx. % Real Alunos _x000a_não ativados"/>
    <tableColumn id="6" xr3:uid="{2B1B9011-3084-954B-B5D3-6B3E4805763A}" name="Média Real por Personal"/>
    <tableColumn id="31" xr3:uid="{379EC622-BA5E-2949-A325-AAB25534F736}" name="Total Real _x000a_Usuários " dataDxfId="90">
      <calculatedColumnFormula>Table1378[[#This Row],[Média Real Alunos 
Ativos Personal]]*Table1378[[#This Row],[Personais 
Ativos Mês]]</calculatedColumnFormula>
    </tableColumn>
    <tableColumn id="35" xr3:uid="{9ADF6B22-586E-A848-BFA6-5F01AFABE991}" name=" Media Real de Infra AWS" dataDxfId="89"/>
    <tableColumn id="34" xr3:uid="{142F827D-C79E-074A-A472-0107F2A5B875}" name=" Media Real de Infra AWS (usuário)" dataDxfId="88"/>
    <tableColumn id="5" xr3:uid="{2EA680EC-53FD-5E48-9146-6178142AFF57}" name="Faturamento _x000a_Real Bruto"/>
    <tableColumn id="8" xr3:uid="{49A5A6C0-CF6F-FA45-8431-7E06D3551E8F}" name="Receita _x000a_MUVX (7,5%)"/>
    <tableColumn id="22" xr3:uid="{6FCF24C4-1C29-C24D-9FE8-2B1AF71A0F93}" name="Receita MUVX (Tarifa Alunos R$3,99)" dataDxfId="87">
      <calculatedColumnFormula>Table1378[[#This Row],[Total Real 
Usuários ]]*0.199</calculatedColumnFormula>
    </tableColumn>
    <tableColumn id="10" xr3:uid="{93DF7C0E-B891-1E48-ACB1-843EA4554978}" name="Faturamento Real Acumulado"/>
    <tableColumn id="11" xr3:uid="{54384A67-F8DC-6F4A-9243-2065F38D3553}" name="Receita MUVX Acumulada"/>
    <tableColumn id="12" xr3:uid="{F151046E-26BB-2D4D-9FC1-570CFE4BDEA1}" name="Investimento Acumulado"/>
    <tableColumn id="13" xr3:uid="{A18C5215-0B83-BE4A-9DEF-D3B6AD8E7A56}" name="ROI"/>
    <tableColumn id="14" xr3:uid="{C3763E8B-A111-674C-9896-97E7DD3F1BA5}" name="ROI Acumulado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AE24E6-087F-5C47-9FD0-9D55F33D7440}" name="Table8" displayName="Table8" ref="A2:B19" totalsRowShown="0" headerRowDxfId="86">
  <autoFilter ref="A2:B19" xr:uid="{BFDE3073-F564-8643-B956-93FEFEC68435}"/>
  <tableColumns count="2">
    <tableColumn id="1" xr3:uid="{E7DBAA92-A42A-B74D-9583-36D401A00546}" name="Premissa"/>
    <tableColumn id="2" xr3:uid="{5FBF2D99-6F34-2441-970B-C66704E8660D}" name="Valor" dataDxfId="85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B57A18-570A-7946-BCF6-7B4886A5741B}" name="Table9" displayName="Table9" ref="A23:B27" totalsRowShown="0" headerRowDxfId="84">
  <autoFilter ref="A23:B27" xr:uid="{48A60153-B12C-934F-8AC2-B94C6CAAE7BB}"/>
  <tableColumns count="2">
    <tableColumn id="1" xr3:uid="{AFE03481-9195-F443-B7B1-FB2DC52E744A}" name="Origem"/>
    <tableColumn id="2" xr3:uid="{9E176525-32CF-1C46-AEC9-8589BB69367F}" name="Resultado" dataDxfId="83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F4A431-2A99-6946-AB6C-A91D678BD1E5}" name="Table10" displayName="Table10" ref="A29:C42" totalsRowShown="0" headerRowDxfId="82">
  <autoFilter ref="A29:C42" xr:uid="{5249CDED-CCB2-FC43-8C91-3A182C233BAD}"/>
  <tableColumns count="3">
    <tableColumn id="1" xr3:uid="{907D6F80-5856-9A48-8C24-F1C2175E2868}" name="Mês"/>
    <tableColumn id="2" xr3:uid="{C2F9AA0E-3998-EE4C-9869-85A7FD0A8BEB}" name="% Distribuição" dataDxfId="81"/>
    <tableColumn id="3" xr3:uid="{07CE9A31-3BE2-9D4F-AA05-744215FA9695}" name="Captação" dataDxfId="80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CD630DF-2F38-D74D-BA61-74C1959B9296}" name="Table11" displayName="Table11" ref="A46:M60" totalsRowCount="1" headerRowDxfId="79">
  <autoFilter ref="A46:M59" xr:uid="{EB8CE0FD-1D6D-8643-A04E-9EDD9002FF4B}"/>
  <tableColumns count="13">
    <tableColumn id="1" xr3:uid="{45D95B6B-5DE1-6744-B733-5B3A1AA42EA2}" name="Mês"/>
    <tableColumn id="2" xr3:uid="{4F288209-A22F-BE48-AB68-B0FDE3FC3907}" name="Conversão" dataDxfId="77" totalsRowDxfId="78"/>
    <tableColumn id="3" xr3:uid="{CBEEEE5D-21C6-EF41-B5DD-29ACAF32AE9B}" name="Base ativa" dataDxfId="75" totalsRowDxfId="76"/>
    <tableColumn id="10" xr3:uid="{163C7953-76F7-1641-A1A0-91225C13FBFA}" name="Churn (4%)" dataDxfId="73" totalsRowDxfId="74">
      <calculatedColumnFormula>Table11[[#This Row],[Base ativa]]*4%</calculatedColumnFormula>
    </tableColumn>
    <tableColumn id="4" xr3:uid="{5CCF5A13-F144-BE4E-B734-4E496C5F189C}" name="Receita (Base ativa - Churn) × (1000) // 20%" dataDxfId="71" totalsRowDxfId="72"/>
    <tableColumn id="12" xr3:uid="{0D668760-9360-144E-8647-728633773DD1}" name="Receita (Base ativa - Churn) × (500) // 40%" dataDxfId="69" totalsRowDxfId="70">
      <calculatedColumnFormula>((Table11[[#This Row],[Base ativa]]-Table11[[#This Row],[Churn (4%)]])*50%)*(500)</calculatedColumnFormula>
    </tableColumn>
    <tableColumn id="11" xr3:uid="{995B3E4F-229A-EC43-AC47-797DBB085EFD}" name="Receita (Base ativa - Churn) × (250) // 40%" dataDxfId="67" totalsRowDxfId="68">
      <calculatedColumnFormula>((Table11[[#This Row],[Base ativa]]-Table11[[#This Row],[Churn (4%)]])*20%)*(250)</calculatedColumnFormula>
    </tableColumn>
    <tableColumn id="13" xr3:uid="{CD678E8A-EAB1-FE40-8822-2EA91D595990}" name="Receita Total" dataDxfId="65" totalsRowDxfId="66">
      <calculatedColumnFormula>Table11[[#This Row],[Receita (Base ativa - Churn) × (1000) // 20%]]+Table11[[#This Row],[Receita (Base ativa - Churn) × (500) // 40%]]+Table11[[#This Row],[Receita (Base ativa - Churn) × (250) // 40%]]</calculatedColumnFormula>
    </tableColumn>
    <tableColumn id="5" xr3:uid="{5F11010F-7B6C-9344-8319-A8913AC32C49}" name="Var 20%" dataDxfId="63" totalsRowDxfId="64"/>
    <tableColumn id="6" xr3:uid="{95DB2102-1930-AD4E-8332-5AA946934C16}" name="Ag 5%" dataDxfId="61" totalsRowDxfId="62"/>
    <tableColumn id="7" xr3:uid="{F7C38C27-B36D-814E-B3AA-79D9C772A183}" name="Fee" dataDxfId="59" totalsRowDxfId="60"/>
    <tableColumn id="8" xr3:uid="{052AAE1D-DF55-4A49-A120-BCABC4C0ECE1}" name="Custo Total" totalsRowFunction="custom" dataDxfId="57" totalsRowDxfId="58">
      <totalsRowFormula>L59/M59</totalsRowFormula>
    </tableColumn>
    <tableColumn id="9" xr3:uid="{49064893-F3A0-0543-B5AD-ED439556664E}" name="Lucro" dataDxfId="55" totalsRowDxfId="56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B39444-6438-0F43-85F8-573049816EB6}" name="Table153" displayName="Table153" ref="A2:AH19" totalsRowShown="0" headerRowBorderDxfId="53" tableBorderDxfId="54">
  <autoFilter ref="A2:AH19" xr:uid="{B4BDA4A2-C38C-C14D-A62B-117BABA6383F}"/>
  <tableColumns count="34">
    <tableColumn id="1" xr3:uid="{89B99110-C8CF-4643-8460-6E2BF4BC69B7}" name="Mês"/>
    <tableColumn id="9" xr3:uid="{6E59CC2C-FC3C-CF4F-B968-0F5401A5BC7D}" name="Investimento no Mês_x000a_ (Growth) // 5%" dataDxfId="52"/>
    <tableColumn id="26" xr3:uid="{3BF5A704-86ED-B94D-B3EC-89666A0E6B65}" name="CPL - Tráfego_x000a_(cadastro)"/>
    <tableColumn id="27" xr3:uid="{14000BAC-7683-FA4C-B6B8-99B2B5FF8961}" name="Novos Cadastros _x000a_LP" dataDxfId="51">
      <calculatedColumnFormula>Table153[[#This Row],[Investimento no Mês
 (Growth) // 5%]]/Table153[[#This Row],[CPL - Tráfego
(cadastro)]]</calculatedColumnFormula>
    </tableColumn>
    <tableColumn id="28" xr3:uid="{A339B0EE-8126-774B-B6FE-01860B81A08D}" name="Tx. % Install" dataDxfId="50">
      <calculatedColumnFormula>Table153[[#This Row],[Novos Personais Ativados]]/Table153[[#This Row],[Novos Cadastros 
LP]]</calculatedColumnFormula>
    </tableColumn>
    <tableColumn id="36" xr3:uid="{E834D496-CEF8-6143-B3F9-75632B9D52FA}" name="Novos Installs no App" dataDxfId="49">
      <calculatedColumnFormula>Table153[[#This Row],[Novos Cadastros 
LP]]*Table153[[#This Row],[Tx. % Install]]</calculatedColumnFormula>
    </tableColumn>
    <tableColumn id="35" xr3:uid="{E107C085-1397-B541-8781-180BB7B7AED4}" name="Tx % Ativações" dataDxfId="48">
      <calculatedColumnFormula>G64</calculatedColumnFormula>
    </tableColumn>
    <tableColumn id="34" xr3:uid="{F5CA7790-1D19-DA48-AD1A-BDDB39C4D37F}" name="Novos Personais Habilitados" dataDxfId="47">
      <calculatedColumnFormula>Table153[[#This Row],[Novos Installs no App]]*Table153[[#This Row],[Tx % Ativações]]</calculatedColumnFormula>
    </tableColumn>
    <tableColumn id="33" xr3:uid="{516339AA-A569-D54A-8858-B0A528941755}" name="Tx % de Conversão" dataDxfId="46">
      <calculatedColumnFormula>I64</calculatedColumnFormula>
    </tableColumn>
    <tableColumn id="23" xr3:uid="{4C986E8B-707D-8240-95CC-FDA525F34B2A}" name="Cadastros Evento Presencial"/>
    <tableColumn id="32" xr3:uid="{363DF9EF-D1E1-0446-BC27-AFB1DDEE68D5}" name="Tx % Ativação Presencial"/>
    <tableColumn id="2" xr3:uid="{1D895F37-842D-ED4D-8F90-2BFBA854B9EE}" name="Novos Personais Ativados"/>
    <tableColumn id="21" xr3:uid="{B39A5443-9DCF-F54B-98B4-E4AB90EE32D8}" name="Personais _x000a_Totais" dataDxfId="45">
      <calculatedColumnFormula>Table153[[#This Row],[Personais 
Ativos Mês]]+Table153[[#This Row],[Qtde. Churn 
no Mês]]</calculatedColumnFormula>
    </tableColumn>
    <tableColumn id="24" xr3:uid="{249CBDCB-C77B-4B4E-8223-C07DEE2630DA}" name="CAC _x000a_(ativação)"/>
    <tableColumn id="16" xr3:uid="{13A28922-CA72-3846-A874-E108F22564C8}" name="Tx. % Churn" dataDxfId="44">
      <calculatedColumnFormula>Table153[[#This Row],[Qtde. Churn 
no Mês]]/Table153[[#This Row],[Personais 
Ativos Mês]]</calculatedColumnFormula>
    </tableColumn>
    <tableColumn id="4" xr3:uid="{92D0BAD8-E808-AD4B-8A9E-DF7E9999D330}" name="Qtde. Churn _x000a_no Mês"/>
    <tableColumn id="3" xr3:uid="{372A4B0D-FCFB-9D4C-8A85-A3762FCFDF42}" name="Personais _x000a_Ativos Mês"/>
    <tableColumn id="15" xr3:uid="{E2D50D32-5F7D-E441-B983-79FED51C2F71}" name="Média Alunos Estimada _x000a_Total Personal"/>
    <tableColumn id="25" xr3:uid="{0C7C2BE5-FDBD-3E4E-BB27-295F56628C12}" name="Ticket Médio Aluno Personal" dataDxfId="43">
      <calculatedColumnFormula>Table153[[#This Row],[Média Faturamento
Estimada Personal]]/Table153[[#This Row],[Média Alunos Estimada 
Total Personal]]</calculatedColumnFormula>
    </tableColumn>
    <tableColumn id="20" xr3:uid="{294E31AF-1D03-6F42-AD5C-F66CE661CB60}" name="Média Faturamento_x000a_Estimada Personal"/>
    <tableColumn id="30" xr3:uid="{5E149AB6-A04E-2B44-A06E-A9E9E087D4E2}" name="Total Usuários Estimado" dataDxfId="42">
      <calculatedColumnFormula>Table153[[#This Row],[Personais 
Ativos Mês]]+(Table153[[#This Row],[Personais 
Ativos Mês]]*Table153[[#This Row],[Média Alunos Estimada 
Total Personal]])</calculatedColumnFormula>
    </tableColumn>
    <tableColumn id="18" xr3:uid="{DA1E1BE4-AEDC-FF46-B99C-53CEFED46B96}" name="Faturamento Estimado" dataDxfId="41">
      <calculatedColumnFormula>Table153[[#This Row],[Média Faturamento
Estimada Personal]]*Q2</calculatedColumnFormula>
    </tableColumn>
    <tableColumn id="29" xr3:uid="{567D3963-BBCD-3046-9FC4-364F8A00F99A}" name="Receita MUVX Estimada _x000a_(7,5% &gt;= 1000 Personais)" dataDxfId="40">
      <calculatedColumnFormula>Table153[[#This Row],[Faturamento Estimado]]*5%</calculatedColumnFormula>
    </tableColumn>
    <tableColumn id="17" xr3:uid="{CB123ED5-778B-1A40-A244-D19478A88839}" name="Média Real Alunos _x000a_Ativos Personal" dataDxfId="39">
      <calculatedColumnFormula>Table153[[#This Row],[Média Alunos Estimada 
Total Personal]]-(Table153[[#This Row],[Tx. % Real Alunos 
não ativados]]*Table153[[#This Row],[Média Alunos Estimada 
Total Personal]])</calculatedColumnFormula>
    </tableColumn>
    <tableColumn id="7" xr3:uid="{BA57A0DF-6E9C-3144-A0BC-2021676F931E}" name="Tx. % Real Alunos _x000a_não ativados"/>
    <tableColumn id="6" xr3:uid="{038226A9-80F8-484F-B2F2-459725533171}" name="Média Real por Personal"/>
    <tableColumn id="31" xr3:uid="{C8FCBC63-9268-4042-85CC-7308FE33BC03}" name="Total Real _x000a_Usuários " dataDxfId="38">
      <calculatedColumnFormula>Table153[[#This Row],[Média Real Alunos 
Ativos Personal]]*Table153[[#This Row],[Personais 
Ativos Mês]]</calculatedColumnFormula>
    </tableColumn>
    <tableColumn id="5" xr3:uid="{48B25ED1-6182-F642-AE0A-969153FA81F6}" name="Faturamento _x000a_Real Bruto"/>
    <tableColumn id="8" xr3:uid="{86162B2A-7026-6041-A30E-306F9B16FA16}" name="Receita MUVX _x000a_(7,5% &gt;= 1000 Personais)"/>
    <tableColumn id="10" xr3:uid="{E0CCB164-DC1B-7A48-8481-7B63B6E0A6C1}" name="Faturamento Real Acumulado"/>
    <tableColumn id="11" xr3:uid="{147C4814-8B64-FD46-9757-415A9DF4A7C8}" name="Receita MUVX Acumulada"/>
    <tableColumn id="12" xr3:uid="{4D21CDBF-3311-644D-A5BC-75839F830044}" name="Investimento Acumulado"/>
    <tableColumn id="13" xr3:uid="{A9D409F4-AE9F-2D40-903F-809DBA557CB8}" name="ROI"/>
    <tableColumn id="14" xr3:uid="{354D5DD8-FC0D-4C4F-ACF9-6073B546467B}" name="ROI Acumulado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BB8743-4D22-CB4E-BDD6-C8868FA2309B}" name="Table1537" displayName="Table1537" ref="A22:AH39" totalsRowShown="0" headerRowBorderDxfId="36" tableBorderDxfId="37">
  <autoFilter ref="A22:AH39" xr:uid="{82D964C4-7993-8C44-8463-0774E30E95D9}"/>
  <tableColumns count="34">
    <tableColumn id="1" xr3:uid="{EA628A0C-1CBD-5D4F-915F-7219B65910A3}" name="Mês"/>
    <tableColumn id="9" xr3:uid="{250CDEC6-CED4-864F-96CF-974F7C639623}" name="Investimento no Mês _x000a_(Growth) // 15%" dataDxfId="35"/>
    <tableColumn id="26" xr3:uid="{77EE6969-6815-E148-BF09-4FEA7350B5BB}" name="CPL _x000a_(cadastro)"/>
    <tableColumn id="27" xr3:uid="{AA226463-468B-2643-9E1E-065EABD3DF38}" name="Novos Cadastros _x000a_LP" dataDxfId="34">
      <calculatedColumnFormula>Table1537[[#This Row],[Investimento no Mês 
(Growth) // 15%]]/Table1537[[#This Row],[CPL 
(cadastro)]]</calculatedColumnFormula>
    </tableColumn>
    <tableColumn id="28" xr3:uid="{3F2BE76F-CF63-984F-93D3-38EB1187B2E8}" name="Tx. % Install" dataDxfId="33">
      <calculatedColumnFormula>Table1537[[#This Row],[Novos Personais Ativados]]/Table1537[[#This Row],[Novos Cadastros 
LP]]</calculatedColumnFormula>
    </tableColumn>
    <tableColumn id="43" xr3:uid="{580708FB-6309-B649-B75E-61B8A495B967}" name="Novos Installs no App" dataDxfId="32">
      <calculatedColumnFormula>Table1537[[#This Row],[Novos Cadastros 
LP]]*Table1537[[#This Row],[Tx. % Install]]</calculatedColumnFormula>
    </tableColumn>
    <tableColumn id="44" xr3:uid="{A7322CAB-AA48-944D-A049-C65A32DB62F7}" name="Tx % Ativações" dataDxfId="31">
      <calculatedColumnFormula>G64</calculatedColumnFormula>
    </tableColumn>
    <tableColumn id="45" xr3:uid="{8048DED9-B662-5145-8FD0-DE420949F893}" name="Novos Personais Habilitados" dataDxfId="30">
      <calculatedColumnFormula>Table1537[[#This Row],[Novos Installs no App]]*Table1537[[#This Row],[Tx % Ativações]]</calculatedColumnFormula>
    </tableColumn>
    <tableColumn id="46" xr3:uid="{4CEB9ACA-F3AF-504B-BCBB-92CF1AAC9361}" name="Tx % de Conversão" dataDxfId="29">
      <calculatedColumnFormula>I64</calculatedColumnFormula>
    </tableColumn>
    <tableColumn id="24" xr3:uid="{5EA19BA6-4EEC-CA4D-8A57-2CE1F7E94DF0}" name="Cadastros Evento Presencial" dataDxfId="28">
      <calculatedColumnFormula>J64*50%</calculatedColumnFormula>
    </tableColumn>
    <tableColumn id="32" xr3:uid="{6D4D6F10-18B5-D141-84C6-8DFF61DC8EA0}" name="Tx % Ativação Presencial" dataDxfId="27">
      <calculatedColumnFormula>K64</calculatedColumnFormula>
    </tableColumn>
    <tableColumn id="2" xr3:uid="{2ADD6678-2302-D54D-8AFD-D5DAA3B5AAA4}" name="Novos Personais Ativados"/>
    <tableColumn id="21" xr3:uid="{B101F0BF-8E3D-1A49-9A74-0DDD3CD11DC3}" name="Personais _x000a_Totais" dataDxfId="26">
      <calculatedColumnFormula>Table1537[[#This Row],[Personais 
Ativos Mês]]+Table1537[[#This Row],[Qtde. Churn 
no Mês]]</calculatedColumnFormula>
    </tableColumn>
    <tableColumn id="19" xr3:uid="{E1E9ADE5-C6BF-2D4E-B0C5-B7F7171B7109}" name="CAC _x000a_(ativação)"/>
    <tableColumn id="16" xr3:uid="{858EAD2D-868D-054D-BBCF-5E572CCDBFCD}" name="Tx. % Churn" dataDxfId="25">
      <calculatedColumnFormula>Table1537[[#This Row],[Qtde. Churn 
no Mês]]/Table1537[[#This Row],[Personais 
Ativos Mês]]</calculatedColumnFormula>
    </tableColumn>
    <tableColumn id="4" xr3:uid="{C11B9FDC-48E7-3743-8166-D0FE85D3BE4B}" name="Qtde. Churn _x000a_no Mês"/>
    <tableColumn id="3" xr3:uid="{887AB4FA-A0B1-9A4D-A91B-D4E59206B335}" name="Personais _x000a_Ativos Mês"/>
    <tableColumn id="15" xr3:uid="{781D4FB2-33E4-F64E-A8FC-8E6EFC751B71}" name="Média Alunos Estimada _x000a_Total Personal"/>
    <tableColumn id="25" xr3:uid="{FBEB630A-4EB9-2E45-BC56-03EA46D59E56}" name="Ticket Médio Aluno Personal" dataDxfId="24">
      <calculatedColumnFormula>Table1537[[#This Row],[Média Faturamento
Estimada Personal]]/Table1537[[#This Row],[Média Alunos Estimada 
Total Personal]]</calculatedColumnFormula>
    </tableColumn>
    <tableColumn id="20" xr3:uid="{0BEA90C5-3E74-E64F-B01D-DB5650E20D4E}" name="Média Faturamento_x000a_Estimada Personal"/>
    <tableColumn id="30" xr3:uid="{1BB96B1F-755E-EC46-A439-45B63BAE71A5}" name="Total Usuários Estimado" dataDxfId="23">
      <calculatedColumnFormula>Table1537[[#This Row],[Personais 
Ativos Mês]]+(Table1537[[#This Row],[Personais 
Ativos Mês]]*Table1537[[#This Row],[Média Alunos Estimada 
Total Personal]])</calculatedColumnFormula>
    </tableColumn>
    <tableColumn id="18" xr3:uid="{A2D51BA8-A724-8F46-8580-1F842ACDAEC1}" name="Faturamento Estimado" dataDxfId="22">
      <calculatedColumnFormula>Table1537[[#This Row],[Média Faturamento
Estimada Personal]]*Q22</calculatedColumnFormula>
    </tableColumn>
    <tableColumn id="29" xr3:uid="{63C81ED5-E0AE-A248-83E6-CEC9CB9855AB}" name="Receita MUVX Estimada _x000a_(7,5% &gt;= 1000 Personais)" dataDxfId="21">
      <calculatedColumnFormula>Table1537[[#This Row],[Faturamento Estimado]]*5%</calculatedColumnFormula>
    </tableColumn>
    <tableColumn id="17" xr3:uid="{68D381FB-BC61-6F4F-B799-13F7DA504956}" name="Média Real Alunos _x000a_Ativos Personal" dataDxfId="20">
      <calculatedColumnFormula>Table1537[[#This Row],[Média Alunos Estimada 
Total Personal]]-(Table1537[[#This Row],[Tx. % Real Alunos 
não ativados]]*Table1537[[#This Row],[Média Alunos Estimada 
Total Personal]])</calculatedColumnFormula>
    </tableColumn>
    <tableColumn id="7" xr3:uid="{28E2EBAF-3F91-9748-828E-5F36D2990951}" name="Tx. % Real Alunos _x000a_não ativados"/>
    <tableColumn id="6" xr3:uid="{135F420B-5037-C546-9F66-ED49926068EB}" name="Média Real por Personal"/>
    <tableColumn id="31" xr3:uid="{1817AE57-F8B3-B14A-A03F-43DC2E32F956}" name="Total Real _x000a_Usuários " dataDxfId="19">
      <calculatedColumnFormula>Table1537[[#This Row],[Média Real Alunos 
Ativos Personal]]*Table1537[[#This Row],[Personais 
Ativos Mês]]</calculatedColumnFormula>
    </tableColumn>
    <tableColumn id="5" xr3:uid="{5CB4C7AE-95B6-1846-A473-A8C8A1914A6F}" name="Faturamento _x000a_Real Bruto"/>
    <tableColumn id="8" xr3:uid="{0BF7B207-67C1-3D46-A0E9-9416EA5EBC8D}" name="Receita MUVX _x000a_(7,5% &gt;= 1000 Personais)"/>
    <tableColumn id="10" xr3:uid="{F13BB1E3-AF67-B74C-9D37-FEEE34D3D577}" name="Faturamento Real Acumulado"/>
    <tableColumn id="11" xr3:uid="{0CE7C8AB-1324-7E4D-B5B7-034269F8F227}" name="Receita MUVX Acumulada"/>
    <tableColumn id="12" xr3:uid="{B5D945E5-CFC7-CC4F-86B6-7AEFC6313524}" name="Investimento Acumulado"/>
    <tableColumn id="13" xr3:uid="{7D278A1D-1CB4-0E40-A958-89CC15C07FFF}" name="ROI"/>
    <tableColumn id="14" xr3:uid="{44DAAF7B-526A-9E4A-A1B2-99BE6488AC01}" name="ROI Acumulado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58E0C3-8686-9642-AC7C-C121D8907DD0}" name="Table1538" displayName="Table1538" ref="A42:AH59" totalsRowShown="0" headerRowBorderDxfId="17" tableBorderDxfId="18">
  <autoFilter ref="A42:AH59" xr:uid="{5F321288-A7F0-6540-9D6C-0480B55CAEFD}"/>
  <tableColumns count="34">
    <tableColumn id="1" xr3:uid="{7129AEB7-3DFD-FF4B-A3FB-92B410E68FE7}" name="Mês"/>
    <tableColumn id="9" xr3:uid="{D1BA409C-7602-CE4A-8F76-7B74D046A1AB}" name="Investimento no Mês_x000a_ (Growth) // 80%" dataDxfId="16"/>
    <tableColumn id="26" xr3:uid="{6AF14E66-1395-C343-A027-D021E6F03F43}" name="CPL _x000a_(cadastro)"/>
    <tableColumn id="27" xr3:uid="{6BD24F98-23F4-6F44-B400-46C4DC001109}" name="Novos Cadastros _x000a_LP" dataDxfId="15">
      <calculatedColumnFormula>Table1538[[#This Row],[Investimento no Mês
 (Growth) // 80%]]/Table1538[[#This Row],[CPL 
(cadastro)]]</calculatedColumnFormula>
    </tableColumn>
    <tableColumn id="28" xr3:uid="{6728B93E-D1A4-3041-A1F1-7F8467D7D436}" name="Tx. % Install" dataDxfId="14">
      <calculatedColumnFormula>Table1538[[#This Row],[Novos Personais Ativados]]/Table1538[[#This Row],[Novos Cadastros 
LP]]</calculatedColumnFormula>
    </tableColumn>
    <tableColumn id="34" xr3:uid="{3D764CCF-A2E7-A349-8E84-7389E397397E}" name="Novos Installs no App" dataDxfId="13">
      <calculatedColumnFormula>Table1538[[#This Row],[Novos Cadastros 
LP]]*Table1538[[#This Row],[Tx. % Install]]</calculatedColumnFormula>
    </tableColumn>
    <tableColumn id="35" xr3:uid="{8D687949-F74A-C94C-A3D1-DE105ED6E2D3}" name="Tx % Ativações" dataDxfId="12">
      <calculatedColumnFormula>G64</calculatedColumnFormula>
    </tableColumn>
    <tableColumn id="36" xr3:uid="{90FE9AC9-57DD-7E4E-9D5A-BAE934083AB8}" name="Novos Personais Habilitados" dataDxfId="11">
      <calculatedColumnFormula>Table1538[[#This Row],[Novos Installs no App]]*Table1538[[#This Row],[Tx % Ativações]]</calculatedColumnFormula>
    </tableColumn>
    <tableColumn id="37" xr3:uid="{A6588E76-1606-8847-BE31-5FD1F62FB074}" name="Tx % de Conversão" dataDxfId="10">
      <calculatedColumnFormula>I64</calculatedColumnFormula>
    </tableColumn>
    <tableColumn id="24" xr3:uid="{2A4DD404-A49E-7843-8168-BEE149601997}" name="Cadastros Evento Presencial" dataDxfId="9">
      <calculatedColumnFormula>J64*30%</calculatedColumnFormula>
    </tableColumn>
    <tableColumn id="32" xr3:uid="{7952B7EA-51F0-6042-A799-D2CE64EDD9D1}" name="Tx % Ativação Presencial" dataDxfId="8">
      <calculatedColumnFormula>K64</calculatedColumnFormula>
    </tableColumn>
    <tableColumn id="2" xr3:uid="{89BD0153-4C39-9747-9773-55DF62E09FD4}" name="Novos Personais Ativados"/>
    <tableColumn id="21" xr3:uid="{54A4AB84-9081-444E-A793-FD9D2DEE3611}" name="Personais _x000a_Totais" dataDxfId="7">
      <calculatedColumnFormula>Table1538[[#This Row],[Personais 
Ativos Mês]]+Table1538[[#This Row],[Qtde. Churn 
no Mês]]</calculatedColumnFormula>
    </tableColumn>
    <tableColumn id="19" xr3:uid="{6EE99A10-4734-CA48-BDF5-BA1782B627BC}" name="CAC _x000a_(ativação)"/>
    <tableColumn id="16" xr3:uid="{698E5130-8DD4-4E42-8710-5910EF03276E}" name="Tx. % Churn" dataDxfId="6">
      <calculatedColumnFormula>Table1538[[#This Row],[Qtde. Churn 
no Mês]]/Table1538[[#This Row],[Personais 
Ativos Mês]]</calculatedColumnFormula>
    </tableColumn>
    <tableColumn id="4" xr3:uid="{49CCEFE2-4776-0944-BFE5-85CDCD5C0078}" name="Qtde. Churn _x000a_no Mês"/>
    <tableColumn id="3" xr3:uid="{25F9CDAE-065E-EC49-9089-9CF406425AFC}" name="Personais _x000a_Ativos Mês"/>
    <tableColumn id="15" xr3:uid="{74665B4A-E53A-1948-8811-8D70EDBBC63C}" name="Média Alunos Estimada _x000a_Total Personal"/>
    <tableColumn id="25" xr3:uid="{9C9587D2-8215-BC4F-92E3-482B645B7757}" name="Ticket Médio Aluno Personal" dataDxfId="5">
      <calculatedColumnFormula>Table1538[[#This Row],[Média Faturamento
Estimada Personal]]/Table1538[[#This Row],[Média Alunos Estimada 
Total Personal]]</calculatedColumnFormula>
    </tableColumn>
    <tableColumn id="20" xr3:uid="{9471B501-EAB8-2E4D-8A3A-151E5ACC56A3}" name="Média Faturamento_x000a_Estimada Personal"/>
    <tableColumn id="30" xr3:uid="{FAEE87A4-6725-8848-9B2F-E442ACA97D61}" name="Total Usuários Estimado" dataDxfId="4">
      <calculatedColumnFormula>Table1538[[#This Row],[Personais 
Ativos Mês]]+(Table1538[[#This Row],[Personais 
Ativos Mês]]*Table1538[[#This Row],[Média Alunos Estimada 
Total Personal]])</calculatedColumnFormula>
    </tableColumn>
    <tableColumn id="18" xr3:uid="{C1A6CA48-5F6C-E846-AC90-8A8D4C9CB42A}" name="Faturamento Estimado" dataDxfId="3">
      <calculatedColumnFormula>Table1538[[#This Row],[Média Faturamento
Estimada Personal]]*Q42</calculatedColumnFormula>
    </tableColumn>
    <tableColumn id="29" xr3:uid="{83434D56-206B-8C47-BEA1-4A776AF3764B}" name="Receita MUVX Estimada _x000a_(7,5% &gt;= 1000 Personais)" dataDxfId="2">
      <calculatedColumnFormula>Table1538[[#This Row],[Faturamento Estimado]]*5%</calculatedColumnFormula>
    </tableColumn>
    <tableColumn id="17" xr3:uid="{A6AB20F3-AF7B-7147-A9D1-FAFC3485BBFF}" name="Média Real Alunos _x000a_Ativos Personal" dataDxfId="1">
      <calculatedColumnFormula>Table1538[[#This Row],[Média Alunos Estimada 
Total Personal]]-(Table1538[[#This Row],[Tx. % Real Alunos 
não ativados]]*Table1538[[#This Row],[Média Alunos Estimada 
Total Personal]])</calculatedColumnFormula>
    </tableColumn>
    <tableColumn id="7" xr3:uid="{CF0AECB8-C6CE-A448-9666-29440130CB36}" name="Tx. % Real Alunos _x000a_não ativados"/>
    <tableColumn id="6" xr3:uid="{F89C70E4-7BBC-6445-A87E-6F1778A5F556}" name="Média Real por Personal"/>
    <tableColumn id="31" xr3:uid="{856E02AF-99BC-5A44-9400-A4D91E7264F5}" name="Total Real _x000a_Usuários " dataDxfId="0">
      <calculatedColumnFormula>Table1538[[#This Row],[Média Real Alunos 
Ativos Personal]]*Table1538[[#This Row],[Personais 
Ativos Mês]]</calculatedColumnFormula>
    </tableColumn>
    <tableColumn id="5" xr3:uid="{B9C6FB43-5470-5F43-A3F3-AE2635292106}" name="Faturamento _x000a_Real Bruto"/>
    <tableColumn id="8" xr3:uid="{3D57984C-E0A4-F147-ACBC-BD1BEDAF4E74}" name="Receita MUVX _x000a_(7,5% &gt;= 1000 Personais)"/>
    <tableColumn id="10" xr3:uid="{929200FF-6E54-034C-8906-B7892E980DEA}" name="Faturamento Real Acumulado"/>
    <tableColumn id="11" xr3:uid="{A23CC281-7170-DB4A-8939-E6CF2496A7A4}" name="Receita MUVX Acumulada"/>
    <tableColumn id="12" xr3:uid="{C6877CBB-533C-8941-83C7-B28941D43D12}" name="Investimento Acumulado"/>
    <tableColumn id="13" xr3:uid="{300FD61B-7CD9-7B46-8374-443B29872BF8}" name="ROI"/>
    <tableColumn id="14" xr3:uid="{825B502A-A611-D841-BDB2-65E5AADA5FF7}" name="ROI Acumula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17" dT="2026-01-03T21:30:55.33" personId="{047DFBF8-84A7-BD41-BA36-056540929246}" id="{764C905A-73DB-D148-9416-D9688579BF73}">
    <text>MUVDAY SP</text>
  </threadedComment>
  <threadedComment ref="L117" dT="2026-01-03T21:31:06.74" personId="{047DFBF8-84A7-BD41-BA36-056540929246}" id="{DF7C6F2B-E35A-0640-A212-D13F91B08FF7}">
    <text>MUVDAY SP</text>
  </threadedComment>
  <threadedComment ref="J153" dT="2026-01-03T21:03:34.72" personId="{047DFBF8-84A7-BD41-BA36-056540929246}" id="{5B1253FC-4785-4142-8C6A-EF2D32C1D534}">
    <text>1/24</text>
  </threadedComment>
  <threadedComment ref="H163" dT="2026-01-03T20:56:33.95" personId="{A4D8325C-9A95-9942-BB70-00B7AF1E08ED}" id="{96A287E3-9A2F-5244-8960-F69DF0D0625A}">
    <text>Ajustado manualmente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3" dT="2025-09-12T00:23:50.20" personId="{047DFBF8-84A7-BD41-BA36-056540929246}" id="{4EB6DD4F-3FC9-9F4A-9797-01597D8C828A}">
    <text>CAC de lançamento</text>
  </threadedComment>
  <threadedComment ref="N5" dT="2025-09-12T00:24:08.66" personId="{047DFBF8-84A7-BD41-BA36-056540929246}" id="{8CAF7024-840F-674A-AC73-19BF8541369C}">
    <text>Diminuição de 2% ao mês</text>
  </threadedComment>
  <threadedComment ref="N23" dT="2025-09-12T00:23:50.20" personId="{047DFBF8-84A7-BD41-BA36-056540929246}" id="{3EFB69A9-EC00-B743-9672-4F049C058C6C}">
    <text>CAC de lançamento</text>
  </threadedComment>
  <threadedComment ref="N24" dT="2025-09-12T00:23:50.20" personId="{047DFBF8-84A7-BD41-BA36-056540929246}" id="{59CE0AB0-E66F-A140-A3E5-73F1BD365A18}">
    <text>CAC de lançamento</text>
  </threadedComment>
  <threadedComment ref="N25" dT="2025-09-12T00:23:50.20" personId="{047DFBF8-84A7-BD41-BA36-056540929246}" id="{59E5FCE1-9CD3-A549-B8E7-4ED2BB2CEC3C}">
    <text>CAC de lançamento</text>
  </threadedComment>
  <threadedComment ref="N26" dT="2025-09-12T00:23:50.20" personId="{047DFBF8-84A7-BD41-BA36-056540929246}" id="{1711FCA7-9043-4F46-A19A-206BD1BFF9D7}">
    <text>CAC de lançamento</text>
  </threadedComment>
  <threadedComment ref="N27" dT="2025-09-12T00:23:50.20" personId="{047DFBF8-84A7-BD41-BA36-056540929246}" id="{728ABF09-EF1E-5242-9C41-6D6B7AA64DC9}">
    <text>CAC de lançamento</text>
  </threadedComment>
  <threadedComment ref="N28" dT="2025-09-12T00:23:50.20" personId="{047DFBF8-84A7-BD41-BA36-056540929246}" id="{0270F249-0656-F841-9E84-D33CC9403A94}">
    <text>CAC de lançamento</text>
  </threadedComment>
  <threadedComment ref="N29" dT="2025-09-12T00:23:50.20" personId="{047DFBF8-84A7-BD41-BA36-056540929246}" id="{30EB2DF9-3547-944A-AE09-FAB634000FD7}">
    <text>CAC de lançamento</text>
  </threadedComment>
  <threadedComment ref="N30" dT="2025-09-12T00:23:50.20" personId="{047DFBF8-84A7-BD41-BA36-056540929246}" id="{B23039AF-0628-8044-83C9-AEFD5435AE2E}">
    <text>CAC de lançamento</text>
  </threadedComment>
  <threadedComment ref="N31" dT="2025-09-12T00:23:50.20" personId="{047DFBF8-84A7-BD41-BA36-056540929246}" id="{C261DDAB-C7B4-464E-9CA5-13B126190C79}">
    <text>CAC de lançamento</text>
  </threadedComment>
  <threadedComment ref="N32" dT="2025-09-12T00:23:50.20" personId="{047DFBF8-84A7-BD41-BA36-056540929246}" id="{B086211F-B17E-0645-82A3-8340292480A8}">
    <text>CAC de lançamento</text>
  </threadedComment>
  <threadedComment ref="N33" dT="2025-09-12T00:23:50.20" personId="{047DFBF8-84A7-BD41-BA36-056540929246}" id="{C75066CB-0DB1-5547-8F98-DF976FD4C9BF}">
    <text>CAC de lançamento</text>
  </threadedComment>
  <threadedComment ref="N34" dT="2025-09-12T00:23:50.20" personId="{047DFBF8-84A7-BD41-BA36-056540929246}" id="{7F241E42-69CB-EA4C-B20C-5FD470D64B72}">
    <text>CAC de lançamento</text>
  </threadedComment>
  <threadedComment ref="N35" dT="2025-09-12T00:23:50.20" personId="{047DFBF8-84A7-BD41-BA36-056540929246}" id="{6A0734A0-C41F-BC4A-901A-940032E19B18}">
    <text>CAC de lançamento</text>
  </threadedComment>
  <threadedComment ref="N36" dT="2025-09-12T00:23:50.20" personId="{047DFBF8-84A7-BD41-BA36-056540929246}" id="{B30C3FDD-F5F9-6B4F-81B6-9594F0BE0D4F}">
    <text>CAC de lançamento</text>
  </threadedComment>
  <threadedComment ref="N43" dT="2025-09-12T00:23:50.20" personId="{047DFBF8-84A7-BD41-BA36-056540929246}" id="{A983DE6E-36F1-5F4C-9857-0F8FBCA4FA4F}">
    <text>CAC de lançamento</text>
  </threadedComment>
  <threadedComment ref="N45" dT="2025-09-12T00:24:08.66" personId="{047DFBF8-84A7-BD41-BA36-056540929246}" id="{BB147885-138A-BD49-8552-843A85F4D481}">
    <text>Diminuição de 2% ao mês</text>
  </threadedComment>
  <threadedComment ref="B68" dT="2025-11-05T01:33:25.38" personId="{047DFBF8-84A7-BD41-BA36-056540929246}" id="{786C1060-5C03-D248-B5C8-12353545F1DE}">
    <text>Evento SP + Nacional</text>
  </threadedComment>
  <threadedComment ref="B69" dT="2025-11-05T01:33:25.38" personId="{047DFBF8-84A7-BD41-BA36-056540929246}" id="{CB6C091D-C938-D748-8EDF-8670B25EB47A}">
    <text>Evento SP + Nacional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3" dT="2025-09-12T00:23:50.20" personId="{047DFBF8-84A7-BD41-BA36-056540929246}" id="{F95809B6-E0C9-9249-A18D-676AEFA311E0}">
    <text>CAC de lançamento</text>
  </threadedComment>
  <threadedComment ref="N5" dT="2025-09-12T00:24:08.66" personId="{047DFBF8-84A7-BD41-BA36-056540929246}" id="{C3689D08-4EF6-3844-8A43-804EF871597D}">
    <text>Diminuição de 2% ao mês</text>
  </threadedComment>
  <threadedComment ref="N23" dT="2025-09-12T00:23:50.20" personId="{047DFBF8-84A7-BD41-BA36-056540929246}" id="{D4667132-3DF9-2947-8FDC-93C00EAAA630}">
    <text>CAC de lançamento</text>
  </threadedComment>
  <threadedComment ref="N24" dT="2025-09-12T00:23:50.20" personId="{047DFBF8-84A7-BD41-BA36-056540929246}" id="{59A539A5-EDAB-424C-ACE6-E909A35912B7}">
    <text>CAC de lançamento</text>
  </threadedComment>
  <threadedComment ref="N25" dT="2025-09-12T00:23:50.20" personId="{047DFBF8-84A7-BD41-BA36-056540929246}" id="{3426CC31-1377-5A47-A1E8-99BAEBFDAA00}">
    <text>CAC de lançamento</text>
  </threadedComment>
  <threadedComment ref="N26" dT="2025-09-12T00:23:50.20" personId="{047DFBF8-84A7-BD41-BA36-056540929246}" id="{61B54FB4-F4A6-3947-B045-83F92C3FA2C6}">
    <text>CAC de lançamento</text>
  </threadedComment>
  <threadedComment ref="N27" dT="2025-09-12T00:23:50.20" personId="{047DFBF8-84A7-BD41-BA36-056540929246}" id="{3C710F1E-D322-5A42-B43A-D65461718FD2}">
    <text>CAC de lançamento</text>
  </threadedComment>
  <threadedComment ref="N28" dT="2025-09-12T00:23:50.20" personId="{047DFBF8-84A7-BD41-BA36-056540929246}" id="{89FE01A0-59AC-444C-A8C8-6ACC99CE0736}">
    <text>CAC de lançamento</text>
  </threadedComment>
  <threadedComment ref="N29" dT="2025-09-12T00:23:50.20" personId="{047DFBF8-84A7-BD41-BA36-056540929246}" id="{45158F5D-01DE-2945-9659-EC46C2B57462}">
    <text>CAC de lançamento</text>
  </threadedComment>
  <threadedComment ref="N30" dT="2025-09-12T00:23:50.20" personId="{047DFBF8-84A7-BD41-BA36-056540929246}" id="{C42FCE29-77D0-3A4F-AE55-D8DE4909DD81}">
    <text>CAC de lançamento</text>
  </threadedComment>
  <threadedComment ref="N31" dT="2025-09-12T00:23:50.20" personId="{047DFBF8-84A7-BD41-BA36-056540929246}" id="{4EABB5F5-DE46-9A4D-99D8-22034DA00D33}">
    <text>CAC de lançamento</text>
  </threadedComment>
  <threadedComment ref="N32" dT="2025-09-12T00:23:50.20" personId="{047DFBF8-84A7-BD41-BA36-056540929246}" id="{47D8F463-12DD-C14D-9CC4-BA4EBC95C165}">
    <text>CAC de lançamento</text>
  </threadedComment>
  <threadedComment ref="N33" dT="2025-09-12T00:23:50.20" personId="{047DFBF8-84A7-BD41-BA36-056540929246}" id="{EBAC433E-9684-F043-BBEB-2739326B27E0}">
    <text>CAC de lançamento</text>
  </threadedComment>
  <threadedComment ref="N34" dT="2025-09-12T00:23:50.20" personId="{047DFBF8-84A7-BD41-BA36-056540929246}" id="{AA60676E-727F-4245-AB70-6029B59C5ECC}">
    <text>CAC de lançamento</text>
  </threadedComment>
  <threadedComment ref="N35" dT="2025-09-12T00:23:50.20" personId="{047DFBF8-84A7-BD41-BA36-056540929246}" id="{FC00980C-04EC-1B46-A89D-D34838B3ED04}">
    <text>CAC de lançamento</text>
  </threadedComment>
  <threadedComment ref="N36" dT="2025-09-12T00:23:50.20" personId="{047DFBF8-84A7-BD41-BA36-056540929246}" id="{9258E8CB-AD74-9845-AB90-37579DD7C277}">
    <text>CAC de lançamento</text>
  </threadedComment>
  <threadedComment ref="N43" dT="2025-09-12T00:23:50.20" personId="{047DFBF8-84A7-BD41-BA36-056540929246}" id="{0F404B6E-83DD-EB4E-A692-0A63576B4C1E}">
    <text>CAC de lançamento</text>
  </threadedComment>
  <threadedComment ref="N45" dT="2025-09-12T00:24:08.66" personId="{047DFBF8-84A7-BD41-BA36-056540929246}" id="{0FC90C43-250B-DC46-8D52-B570654CE1F8}">
    <text>Diminuição de 2% ao mês</text>
  </threadedComment>
  <threadedComment ref="B68" dT="2025-11-05T01:33:25.38" personId="{047DFBF8-84A7-BD41-BA36-056540929246}" id="{B4E5936F-13B1-2E48-9AE4-4ADD8CA38F00}">
    <text>Evento SP + Nacional</text>
  </threadedComment>
  <threadedComment ref="B69" dT="2025-11-05T01:33:25.38" personId="{047DFBF8-84A7-BD41-BA36-056540929246}" id="{F06609FD-16AC-D340-88CD-F4B442033170}">
    <text>Evento SP + Nacional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3.vml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="150" workbookViewId="0">
      <selection activeCell="B16" sqref="B16"/>
    </sheetView>
  </sheetViews>
  <sheetFormatPr defaultColWidth="8.85546875" defaultRowHeight="15"/>
  <cols>
    <col min="1" max="1" width="24.85546875" bestFit="1" customWidth="1"/>
    <col min="2" max="2" width="11.85546875" customWidth="1"/>
  </cols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13" spans="1:2">
      <c r="A13" s="47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zoomScale="140" zoomScaleNormal="140" workbookViewId="0">
      <pane xSplit="1" ySplit="2" topLeftCell="C3" activePane="bottomRight" state="frozen"/>
      <selection pane="bottomRight" activeCell="C15" sqref="C15"/>
      <selection pane="bottomLeft" activeCell="A2" sqref="A2"/>
      <selection pane="topRight" activeCell="B1" sqref="B1"/>
    </sheetView>
  </sheetViews>
  <sheetFormatPr defaultColWidth="8.85546875" defaultRowHeight="18.95" customHeight="1"/>
  <cols>
    <col min="1" max="1" width="19.28515625" bestFit="1" customWidth="1"/>
    <col min="2" max="2" width="11.7109375" bestFit="1" customWidth="1"/>
    <col min="3" max="3" width="12" bestFit="1" customWidth="1"/>
    <col min="4" max="4" width="12.28515625" bestFit="1" customWidth="1"/>
    <col min="5" max="5" width="12" bestFit="1" customWidth="1"/>
    <col min="6" max="6" width="12.42578125" bestFit="1" customWidth="1"/>
    <col min="7" max="7" width="11.85546875" bestFit="1" customWidth="1"/>
    <col min="8" max="9" width="12.140625" bestFit="1" customWidth="1"/>
    <col min="10" max="10" width="13.28515625" bestFit="1" customWidth="1"/>
    <col min="11" max="13" width="12.140625" bestFit="1" customWidth="1"/>
  </cols>
  <sheetData>
    <row r="1" spans="1:13" ht="23.1" customHeight="1">
      <c r="B1" s="178" t="s">
        <v>10</v>
      </c>
      <c r="C1" s="178"/>
      <c r="D1" s="178"/>
      <c r="E1" s="178"/>
      <c r="F1" s="179" t="s">
        <v>11</v>
      </c>
      <c r="G1" s="179"/>
      <c r="H1" s="179"/>
      <c r="I1" s="179"/>
      <c r="J1" s="179"/>
      <c r="K1" s="179"/>
      <c r="L1" s="179"/>
      <c r="M1" s="179"/>
    </row>
    <row r="2" spans="1:13" ht="18.95" customHeight="1">
      <c r="A2" s="30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</row>
    <row r="3" spans="1:13" ht="18.95" customHeight="1">
      <c r="A3" s="42" t="s">
        <v>25</v>
      </c>
      <c r="B3" s="43">
        <f>Fluxo_Caixa_Mensal!H4</f>
        <v>0</v>
      </c>
      <c r="C3" s="43">
        <f>Fluxo_Caixa_Mensal!I4</f>
        <v>0</v>
      </c>
      <c r="D3" s="43">
        <f>Fluxo_Caixa_Mensal!J4</f>
        <v>0</v>
      </c>
      <c r="E3" s="43">
        <f>Fluxo_Caixa_Mensal!K4</f>
        <v>83839.594261320672</v>
      </c>
      <c r="F3" s="43">
        <f>Fluxo_Caixa_Mensal!L4</f>
        <v>157390.4854725209</v>
      </c>
      <c r="G3" s="43">
        <f>Fluxo_Caixa_Mensal!M4</f>
        <v>311990.16921462008</v>
      </c>
      <c r="H3" s="43">
        <f>Fluxo_Caixa_Mensal!N4</f>
        <v>752576.36761852237</v>
      </c>
      <c r="I3" s="43">
        <f>Fluxo_Caixa_Mensal!O4</f>
        <v>1662897.5628643753</v>
      </c>
      <c r="J3" s="43">
        <f>Fluxo_Caixa_Mensal!P4</f>
        <v>2818042.9602859784</v>
      </c>
      <c r="K3" s="43">
        <f>Fluxo_Caixa_Mensal!Q4</f>
        <v>4062228.8243942079</v>
      </c>
      <c r="L3" s="43">
        <f>Fluxo_Caixa_Mensal!R4</f>
        <v>5599176.345834</v>
      </c>
      <c r="M3" s="43">
        <f>Fluxo_Caixa_Mensal!S4</f>
        <v>7049208.6426318679</v>
      </c>
    </row>
    <row r="4" spans="1:13" ht="18.95" customHeight="1">
      <c r="A4" t="s">
        <v>26</v>
      </c>
      <c r="B4" s="39">
        <f>Fluxo_Caixa_Mensal!H76</f>
        <v>0</v>
      </c>
      <c r="C4" s="39">
        <f>Fluxo_Caixa_Mensal!I76</f>
        <v>0</v>
      </c>
      <c r="D4" s="39">
        <f>Fluxo_Caixa_Mensal!J76</f>
        <v>3300</v>
      </c>
      <c r="E4" s="39">
        <f>Fluxo_Caixa_Mensal!K76</f>
        <v>3300</v>
      </c>
      <c r="F4" s="39">
        <f>Fluxo_Caixa_Mensal!L76</f>
        <v>7826.4</v>
      </c>
      <c r="G4" s="39">
        <f>Fluxo_Caixa_Mensal!M76</f>
        <v>15052.8</v>
      </c>
      <c r="H4" s="39">
        <f>Fluxo_Caixa_Mensal!N76</f>
        <v>23042.400000000001</v>
      </c>
      <c r="I4" s="39">
        <f>Fluxo_Caixa_Mensal!O76</f>
        <v>31272.000000000004</v>
      </c>
      <c r="J4" s="39">
        <f>Fluxo_Caixa_Mensal!P76</f>
        <v>39789.600000000006</v>
      </c>
      <c r="K4" s="39">
        <f>Fluxo_Caixa_Mensal!Q76</f>
        <v>48879.12</v>
      </c>
      <c r="L4" s="39">
        <f>Fluxo_Caixa_Mensal!R76</f>
        <v>53128.209600000002</v>
      </c>
      <c r="M4" s="39">
        <f>Fluxo_Caixa_Mensal!S76</f>
        <v>57874.963200000013</v>
      </c>
    </row>
    <row r="5" spans="1:13" ht="18.95" customHeight="1">
      <c r="A5" s="42" t="s">
        <v>27</v>
      </c>
      <c r="B5" s="43">
        <f>B3-B4</f>
        <v>0</v>
      </c>
      <c r="C5" s="43">
        <f t="shared" ref="C5:M5" si="0">C3-C4</f>
        <v>0</v>
      </c>
      <c r="D5" s="43">
        <f t="shared" si="0"/>
        <v>-3300</v>
      </c>
      <c r="E5" s="43">
        <f t="shared" si="0"/>
        <v>80539.594261320672</v>
      </c>
      <c r="F5" s="43">
        <f t="shared" si="0"/>
        <v>149564.08547252091</v>
      </c>
      <c r="G5" s="43">
        <f t="shared" si="0"/>
        <v>296937.36921462009</v>
      </c>
      <c r="H5" s="43">
        <f t="shared" si="0"/>
        <v>729533.96761852235</v>
      </c>
      <c r="I5" s="43">
        <f t="shared" si="0"/>
        <v>1631625.5628643753</v>
      </c>
      <c r="J5" s="43">
        <f t="shared" si="0"/>
        <v>2778253.3602859783</v>
      </c>
      <c r="K5" s="43">
        <f t="shared" si="0"/>
        <v>4013349.7043942078</v>
      </c>
      <c r="L5" s="43">
        <f t="shared" si="0"/>
        <v>5546048.1362340003</v>
      </c>
      <c r="M5" s="43">
        <f t="shared" si="0"/>
        <v>6991333.6794318678</v>
      </c>
    </row>
    <row r="6" spans="1:13" ht="18.95" customHeight="1">
      <c r="A6" t="s">
        <v>28</v>
      </c>
      <c r="B6" s="39">
        <f>Fluxo_Caixa_Mensal!H26</f>
        <v>145929.15000000002</v>
      </c>
      <c r="C6" s="39">
        <f>Fluxo_Caixa_Mensal!I26</f>
        <v>173607.66</v>
      </c>
      <c r="D6" s="39">
        <f>Fluxo_Caixa_Mensal!J26</f>
        <v>156816.4</v>
      </c>
      <c r="E6" s="39">
        <f>Fluxo_Caixa_Mensal!K26</f>
        <v>146809.87</v>
      </c>
      <c r="F6" s="39">
        <f>Fluxo_Caixa_Mensal!L26</f>
        <v>106584.09</v>
      </c>
      <c r="G6" s="39">
        <f>Fluxo_Caixa_Mensal!M26</f>
        <v>122702.50000000001</v>
      </c>
      <c r="H6" s="39">
        <f>Fluxo_Caixa_Mensal!N26</f>
        <v>188251.75000000003</v>
      </c>
      <c r="I6" s="39">
        <f>Fluxo_Caixa_Mensal!O26</f>
        <v>271393.51</v>
      </c>
      <c r="J6" s="39">
        <f>Fluxo_Caixa_Mensal!P26</f>
        <v>299194.79800000001</v>
      </c>
      <c r="K6" s="39">
        <f>Fluxo_Caixa_Mensal!Q26</f>
        <v>372612.62239999999</v>
      </c>
      <c r="L6" s="39">
        <f>Fluxo_Caixa_Mensal!R26</f>
        <v>423916.67162000004</v>
      </c>
      <c r="M6" s="39">
        <f>Fluxo_Caixa_Mensal!S26</f>
        <v>484218.94498100004</v>
      </c>
    </row>
    <row r="7" spans="1:13" ht="18.95" customHeight="1">
      <c r="A7" s="42" t="s">
        <v>29</v>
      </c>
      <c r="B7" s="43">
        <f>Fluxo_Caixa_Mensal!H86</f>
        <v>76755.159999999989</v>
      </c>
      <c r="C7" s="43">
        <f>Fluxo_Caixa_Mensal!I86</f>
        <v>41903.509999999995</v>
      </c>
      <c r="D7" s="43">
        <f>Fluxo_Caixa_Mensal!J86</f>
        <v>51966.51</v>
      </c>
      <c r="E7" s="43">
        <f>Fluxo_Caixa_Mensal!K86</f>
        <v>56252.17</v>
      </c>
      <c r="F7" s="43">
        <f>Fluxo_Caixa_Mensal!L86</f>
        <v>84221.64565567924</v>
      </c>
      <c r="G7" s="43">
        <f>Fluxo_Caixa_Mensal!M86</f>
        <v>123155.66912835125</v>
      </c>
      <c r="H7" s="43">
        <f>Fluxo_Caixa_Mensal!N86</f>
        <v>371408.01015287725</v>
      </c>
      <c r="I7" s="43">
        <f>Fluxo_Caixa_Mensal!O86</f>
        <v>463246.73205711134</v>
      </c>
      <c r="J7" s="43">
        <f>Fluxo_Caixa_Mensal!P86</f>
        <v>548019.00377186248</v>
      </c>
      <c r="K7" s="43">
        <f>Fluxo_Caixa_Mensal!Q86</f>
        <v>652003.67761715862</v>
      </c>
      <c r="L7" s="43">
        <f>Fluxo_Caixa_Mensal!R86</f>
        <v>766532.17196365236</v>
      </c>
      <c r="M7" s="43">
        <f>Fluxo_Caixa_Mensal!S86</f>
        <v>904607.9671250399</v>
      </c>
    </row>
    <row r="8" spans="1:13" ht="18.95" customHeight="1">
      <c r="A8" t="s">
        <v>30</v>
      </c>
      <c r="B8" s="39">
        <f>B5-B6-B7</f>
        <v>-222684.31</v>
      </c>
      <c r="C8" s="39">
        <f t="shared" ref="C8:M8" si="1">C5-C6-C7</f>
        <v>-215511.16999999998</v>
      </c>
      <c r="D8" s="39">
        <f t="shared" si="1"/>
        <v>-212082.91</v>
      </c>
      <c r="E8" s="39">
        <f t="shared" si="1"/>
        <v>-122522.44573867932</v>
      </c>
      <c r="F8" s="39">
        <f t="shared" si="1"/>
        <v>-41241.65018315833</v>
      </c>
      <c r="G8" s="39">
        <f t="shared" si="1"/>
        <v>51079.200086268844</v>
      </c>
      <c r="H8" s="39">
        <f t="shared" si="1"/>
        <v>169874.2074656451</v>
      </c>
      <c r="I8" s="39">
        <f t="shared" si="1"/>
        <v>896985.32080726395</v>
      </c>
      <c r="J8" s="39">
        <f t="shared" si="1"/>
        <v>1931039.5585141159</v>
      </c>
      <c r="K8" s="39">
        <f t="shared" si="1"/>
        <v>2988733.4043770488</v>
      </c>
      <c r="L8" s="39">
        <f t="shared" si="1"/>
        <v>4355599.2926503476</v>
      </c>
      <c r="M8" s="39">
        <f t="shared" si="1"/>
        <v>5602506.7673258279</v>
      </c>
    </row>
    <row r="9" spans="1:13" ht="18.95" customHeight="1">
      <c r="A9" s="42" t="s">
        <v>31</v>
      </c>
      <c r="B9" s="43">
        <v>0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</row>
    <row r="10" spans="1:13" ht="18.95" customHeight="1">
      <c r="A10" t="s">
        <v>32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</row>
    <row r="11" spans="1:13" ht="18.95" customHeight="1">
      <c r="A11" s="42" t="s">
        <v>33</v>
      </c>
      <c r="B11" s="43">
        <f>B8-B9-B10</f>
        <v>-222684.31</v>
      </c>
      <c r="C11" s="43">
        <f t="shared" ref="C11:M11" si="2">C8-C9-C10</f>
        <v>-215511.16999999998</v>
      </c>
      <c r="D11" s="43">
        <f t="shared" si="2"/>
        <v>-212082.91</v>
      </c>
      <c r="E11" s="43">
        <f t="shared" si="2"/>
        <v>-122522.44573867932</v>
      </c>
      <c r="F11" s="43">
        <f t="shared" si="2"/>
        <v>-41241.65018315833</v>
      </c>
      <c r="G11" s="43">
        <f t="shared" si="2"/>
        <v>51079.200086268844</v>
      </c>
      <c r="H11" s="43">
        <f t="shared" si="2"/>
        <v>169874.2074656451</v>
      </c>
      <c r="I11" s="43">
        <f t="shared" si="2"/>
        <v>896985.32080726395</v>
      </c>
      <c r="J11" s="43">
        <f t="shared" si="2"/>
        <v>1931039.5585141159</v>
      </c>
      <c r="K11" s="43">
        <f t="shared" si="2"/>
        <v>2988733.4043770488</v>
      </c>
      <c r="L11" s="43">
        <f t="shared" si="2"/>
        <v>4355599.2926503476</v>
      </c>
      <c r="M11" s="43">
        <f t="shared" si="2"/>
        <v>5602506.7673258279</v>
      </c>
    </row>
    <row r="12" spans="1:13" ht="18.95" customHeight="1">
      <c r="A12" t="s">
        <v>34</v>
      </c>
      <c r="B12" s="44">
        <f>IFERROR(B5/B3,0)</f>
        <v>0</v>
      </c>
      <c r="C12" s="44">
        <f t="shared" ref="C12:M12" si="3">IFERROR(C5/C3,0)</f>
        <v>0</v>
      </c>
      <c r="D12" s="44">
        <f t="shared" si="3"/>
        <v>0</v>
      </c>
      <c r="E12" s="44">
        <f t="shared" si="3"/>
        <v>0.96063912249248018</v>
      </c>
      <c r="F12" s="44">
        <f t="shared" si="3"/>
        <v>0.95027399542924451</v>
      </c>
      <c r="G12" s="44">
        <f t="shared" si="3"/>
        <v>0.95175232592138159</v>
      </c>
      <c r="H12" s="44">
        <f t="shared" si="3"/>
        <v>0.9693819777082342</v>
      </c>
      <c r="I12" s="44">
        <f t="shared" si="3"/>
        <v>0.98119427155444661</v>
      </c>
      <c r="J12" s="44">
        <f t="shared" si="3"/>
        <v>0.98588041397496573</v>
      </c>
      <c r="K12" s="44">
        <f t="shared" si="3"/>
        <v>0.98796741342918093</v>
      </c>
      <c r="L12" s="44">
        <f t="shared" si="3"/>
        <v>0.99051142412409832</v>
      </c>
      <c r="M12" s="44">
        <f t="shared" si="3"/>
        <v>0.99178986377988776</v>
      </c>
    </row>
    <row r="13" spans="1:13" ht="18.95" customHeight="1">
      <c r="A13" s="42" t="s">
        <v>35</v>
      </c>
      <c r="B13" s="45">
        <f>IFERROR(B8/B3,0)</f>
        <v>0</v>
      </c>
      <c r="C13" s="45">
        <f t="shared" ref="C13:M13" si="4">IFERROR(C8/C3,0)</f>
        <v>0</v>
      </c>
      <c r="D13" s="45">
        <f t="shared" si="4"/>
        <v>0</v>
      </c>
      <c r="E13" s="45">
        <f t="shared" si="4"/>
        <v>-1.4613912056490588</v>
      </c>
      <c r="F13" s="45">
        <f t="shared" si="4"/>
        <v>-0.26203394734657443</v>
      </c>
      <c r="G13" s="45">
        <f t="shared" si="4"/>
        <v>0.16372054355062426</v>
      </c>
      <c r="H13" s="45">
        <f t="shared" si="4"/>
        <v>0.22572354750282775</v>
      </c>
      <c r="I13" s="45">
        <f t="shared" si="4"/>
        <v>0.53941105022860714</v>
      </c>
      <c r="J13" s="45">
        <f t="shared" si="4"/>
        <v>0.68524134859823127</v>
      </c>
      <c r="K13" s="45">
        <f t="shared" si="4"/>
        <v>0.73573733375858086</v>
      </c>
      <c r="L13" s="45">
        <f t="shared" si="4"/>
        <v>0.77790000236214729</v>
      </c>
      <c r="M13" s="45">
        <f t="shared" si="4"/>
        <v>0.79477102343704997</v>
      </c>
    </row>
    <row r="14" spans="1:13" ht="18.95" customHeight="1">
      <c r="A14" t="s">
        <v>36</v>
      </c>
      <c r="B14" s="44">
        <f>IFERROR(B11/B3,0)</f>
        <v>0</v>
      </c>
      <c r="C14" s="44">
        <f t="shared" ref="C14:M14" si="5">IFERROR(C11/C3,0)</f>
        <v>0</v>
      </c>
      <c r="D14" s="44">
        <f t="shared" si="5"/>
        <v>0</v>
      </c>
      <c r="E14" s="44">
        <f t="shared" si="5"/>
        <v>-1.4613912056490588</v>
      </c>
      <c r="F14" s="44">
        <f t="shared" si="5"/>
        <v>-0.26203394734657443</v>
      </c>
      <c r="G14" s="44">
        <f t="shared" si="5"/>
        <v>0.16372054355062426</v>
      </c>
      <c r="H14" s="44">
        <f t="shared" si="5"/>
        <v>0.22572354750282775</v>
      </c>
      <c r="I14" s="44">
        <f t="shared" si="5"/>
        <v>0.53941105022860714</v>
      </c>
      <c r="J14" s="44">
        <f t="shared" si="5"/>
        <v>0.68524134859823127</v>
      </c>
      <c r="K14" s="44">
        <f t="shared" si="5"/>
        <v>0.73573733375858086</v>
      </c>
      <c r="L14" s="44">
        <f t="shared" si="5"/>
        <v>0.77790000236214729</v>
      </c>
      <c r="M14" s="44">
        <f t="shared" si="5"/>
        <v>0.79477102343704997</v>
      </c>
    </row>
    <row r="15" spans="1:13" ht="18.95" customHeight="1">
      <c r="A15" s="42" t="s">
        <v>37</v>
      </c>
      <c r="B15" s="43">
        <f>Fluxo_Caixa_Mensal!H25-Fluxo_Caixa_Mensal!H4</f>
        <v>222684.31</v>
      </c>
      <c r="C15" s="43">
        <f>Fluxo_Caixa_Mensal!I25-Fluxo_Caixa_Mensal!I4</f>
        <v>215511.16999999998</v>
      </c>
      <c r="D15" s="43">
        <f>Fluxo_Caixa_Mensal!J25-Fluxo_Caixa_Mensal!J4</f>
        <v>212082.91</v>
      </c>
      <c r="E15" s="43">
        <f>Fluxo_Caixa_Mensal!K25-Fluxo_Caixa_Mensal!K4</f>
        <v>122522.44573867931</v>
      </c>
      <c r="F15" s="43">
        <f>Fluxo_Caixa_Mensal!L25-Fluxo_Caixa_Mensal!L4</f>
        <v>46272.025838837551</v>
      </c>
      <c r="G15" s="43">
        <f>Fluxo_Caixa_Mensal!M25-Fluxo_Caixa_Mensal!M4</f>
        <v>-41635.770957917557</v>
      </c>
      <c r="H15" s="43">
        <f>Fluxo_Caixa_Mensal!N25-Fluxo_Caixa_Mensal!N4</f>
        <v>-151154.79731276794</v>
      </c>
      <c r="I15" s="43">
        <f>Fluxo_Caixa_Mensal!O25-Fluxo_Caixa_Mensal!O4</f>
        <v>-851830.73875015264</v>
      </c>
      <c r="J15" s="43">
        <f>Fluxo_Caixa_Mensal!P25-Fluxo_Caixa_Mensal!P4</f>
        <v>-1831265.7047422533</v>
      </c>
      <c r="K15" s="43">
        <f>Fluxo_Caixa_Mensal!Q25-Fluxo_Caixa_Mensal!Q4</f>
        <v>-2819650.8267598907</v>
      </c>
      <c r="L15" s="43">
        <f>Fluxo_Caixa_Mensal!R25-Fluxo_Caixa_Mensal!R4</f>
        <v>-4111865.5631866949</v>
      </c>
      <c r="M15" s="43">
        <f>Fluxo_Caixa_Mensal!S25-Fluxo_Caixa_Mensal!S4</f>
        <v>-5266556.1865757881</v>
      </c>
    </row>
    <row r="16" spans="1:13" ht="18.95" customHeight="1">
      <c r="A16" t="s">
        <v>38</v>
      </c>
      <c r="B16" s="50">
        <f>Fluxo_Caixa_Mensal!H167/(AVERAGE(DRE_Mensal!$B$15:$F$15))</f>
        <v>1.5190651019784231E-2</v>
      </c>
      <c r="C16" s="50">
        <f>Fluxo_Caixa_Mensal!I167/(AVERAGE(DRE_Mensal!$B$15:$F$15))</f>
        <v>-3.0135475313466931E-2</v>
      </c>
      <c r="D16" s="50">
        <f>Fluxo_Caixa_Mensal!J167/(AVERAGE(DRE_Mensal!$B$15:$F$15))</f>
        <v>1.8854793907169928E-2</v>
      </c>
      <c r="E16" s="50">
        <f>Fluxo_Caixa_Mensal!K167/(AVERAGE(DRE_Mensal!$B$15:$F$15))</f>
        <v>-0.20714735727737099</v>
      </c>
      <c r="F16" s="50">
        <f>Fluxo_Caixa_Mensal!L167/(AVERAGE(DRE_Mensal!$B$15:$F$15))</f>
        <v>-0.30835963583973663</v>
      </c>
      <c r="G16" s="50" t="s">
        <v>39</v>
      </c>
      <c r="H16" s="50" t="s">
        <v>39</v>
      </c>
      <c r="I16" s="50" t="s">
        <v>39</v>
      </c>
      <c r="J16" s="50" t="s">
        <v>39</v>
      </c>
      <c r="K16" s="50" t="s">
        <v>39</v>
      </c>
      <c r="L16" s="50" t="s">
        <v>39</v>
      </c>
      <c r="M16" s="50" t="s">
        <v>39</v>
      </c>
    </row>
    <row r="17" spans="1:13" ht="18.95" customHeight="1">
      <c r="A17" s="42" t="s">
        <v>40</v>
      </c>
      <c r="B17" s="51">
        <f>Fluxo_Caixa_Mensal!H167/DRE_Mensal!B15</f>
        <v>1.1174788201288267E-2</v>
      </c>
      <c r="C17" s="51">
        <f>Fluxo_Caixa_Mensal!I167/DRE_Mensal!C15</f>
        <v>-2.2906608506649544E-2</v>
      </c>
      <c r="D17" s="51">
        <f>Fluxo_Caixa_Mensal!J167/DRE_Mensal!D15</f>
        <v>1.456359684993006E-2</v>
      </c>
      <c r="E17" s="51">
        <f>Fluxo_Caixa_Mensal!K167/DRE_Mensal!E15</f>
        <v>-0.2769595034941969</v>
      </c>
      <c r="F17" s="51">
        <f>Fluxo_Caixa_Mensal!L167/DRE_Mensal!F15</f>
        <v>-1.0916704196264737</v>
      </c>
      <c r="G17" s="51" t="s">
        <v>39</v>
      </c>
      <c r="H17" s="51" t="s">
        <v>39</v>
      </c>
      <c r="I17" s="51" t="s">
        <v>39</v>
      </c>
      <c r="J17" s="51" t="s">
        <v>39</v>
      </c>
      <c r="K17" s="51" t="s">
        <v>39</v>
      </c>
      <c r="L17" s="51" t="s">
        <v>39</v>
      </c>
      <c r="M17" s="51" t="s">
        <v>39</v>
      </c>
    </row>
    <row r="18" spans="1:13" ht="18.95" customHeight="1">
      <c r="A18" t="s">
        <v>41</v>
      </c>
      <c r="B18" s="50"/>
      <c r="C18" s="50"/>
      <c r="D18" s="50"/>
      <c r="E18" s="145">
        <f t="shared" ref="E18:L18" si="6">E11/F11</f>
        <v>2.9708424661609025</v>
      </c>
      <c r="F18" s="145">
        <f t="shared" si="6"/>
        <v>-0.80740595219784872</v>
      </c>
      <c r="G18" s="145">
        <f t="shared" si="6"/>
        <v>0.30068837905600804</v>
      </c>
      <c r="H18" s="145">
        <f t="shared" si="6"/>
        <v>0.18938348658009546</v>
      </c>
      <c r="I18" s="145">
        <f t="shared" si="6"/>
        <v>0.46450903444850739</v>
      </c>
      <c r="J18" s="145">
        <f t="shared" si="6"/>
        <v>0.64610632573854765</v>
      </c>
      <c r="K18" s="145">
        <f t="shared" si="6"/>
        <v>0.68618190140223578</v>
      </c>
      <c r="L18" s="145">
        <f t="shared" si="6"/>
        <v>0.77743757813064629</v>
      </c>
      <c r="M18" s="50"/>
    </row>
  </sheetData>
  <mergeCells count="2">
    <mergeCell ref="B1:E1"/>
    <mergeCell ref="F1:M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70"/>
  <sheetViews>
    <sheetView tabSelected="1" zoomScale="125" zoomScaleNormal="110" workbookViewId="0">
      <pane xSplit="1" ySplit="2" topLeftCell="B136" activePane="bottomRight" state="frozen"/>
      <selection pane="bottomRight" activeCell="A28" sqref="A28"/>
      <selection pane="bottomLeft" activeCell="A3" sqref="A3"/>
      <selection pane="topRight" activeCell="B1" sqref="B1"/>
    </sheetView>
  </sheetViews>
  <sheetFormatPr defaultColWidth="14.85546875" defaultRowHeight="15" outlineLevelRow="1"/>
  <cols>
    <col min="1" max="1" width="42.42578125" bestFit="1" customWidth="1"/>
    <col min="2" max="5" width="14.28515625" customWidth="1"/>
    <col min="6" max="11" width="16.140625" bestFit="1" customWidth="1"/>
    <col min="12" max="13" width="17.42578125" customWidth="1"/>
    <col min="14" max="14" width="18.42578125" customWidth="1"/>
    <col min="15" max="15" width="16.85546875" customWidth="1"/>
    <col min="16" max="16" width="20.28515625" customWidth="1"/>
    <col min="17" max="17" width="19" customWidth="1"/>
    <col min="18" max="18" width="19.85546875" customWidth="1"/>
    <col min="19" max="19" width="15.7109375" bestFit="1" customWidth="1"/>
    <col min="20" max="20" width="16.85546875" customWidth="1"/>
  </cols>
  <sheetData>
    <row r="1" spans="1:23">
      <c r="B1" s="180" t="s">
        <v>42</v>
      </c>
      <c r="C1" s="180"/>
      <c r="D1" s="180"/>
      <c r="E1" s="180"/>
      <c r="F1" s="181" t="s">
        <v>43</v>
      </c>
      <c r="G1" s="181"/>
      <c r="H1" s="182" t="s">
        <v>10</v>
      </c>
      <c r="I1" s="182"/>
      <c r="J1" s="182"/>
      <c r="K1" s="182"/>
      <c r="L1" s="183" t="s">
        <v>44</v>
      </c>
      <c r="M1" s="183"/>
      <c r="N1" s="183"/>
      <c r="O1" s="183"/>
      <c r="P1" s="183"/>
      <c r="Q1" s="183"/>
      <c r="R1" s="183"/>
      <c r="S1" s="183"/>
    </row>
    <row r="2" spans="1:23" ht="15.95" thickBot="1">
      <c r="A2" s="9" t="s">
        <v>12</v>
      </c>
      <c r="B2" s="4">
        <v>45839</v>
      </c>
      <c r="C2" s="4">
        <v>45870</v>
      </c>
      <c r="D2" s="4">
        <v>45901</v>
      </c>
      <c r="E2" s="4">
        <v>45931</v>
      </c>
      <c r="F2" s="5">
        <v>45962</v>
      </c>
      <c r="G2" s="5">
        <v>45992</v>
      </c>
      <c r="H2" s="6">
        <v>46023</v>
      </c>
      <c r="I2" s="6">
        <v>46054</v>
      </c>
      <c r="J2" s="6">
        <v>46082</v>
      </c>
      <c r="K2" s="6">
        <v>46113</v>
      </c>
      <c r="L2" s="7">
        <v>46143</v>
      </c>
      <c r="M2" s="7">
        <v>46174</v>
      </c>
      <c r="N2" s="7">
        <v>46204</v>
      </c>
      <c r="O2" s="7">
        <v>46235</v>
      </c>
      <c r="P2" s="7">
        <v>46266</v>
      </c>
      <c r="Q2" s="7">
        <v>46296</v>
      </c>
      <c r="R2" s="7">
        <v>46327</v>
      </c>
      <c r="S2" s="7">
        <v>46357</v>
      </c>
      <c r="T2" s="8" t="s">
        <v>45</v>
      </c>
    </row>
    <row r="3" spans="1:23" ht="15.95" thickBot="1">
      <c r="A3" s="13" t="s">
        <v>46</v>
      </c>
      <c r="B3" s="41">
        <f>C5*4</f>
        <v>0</v>
      </c>
      <c r="C3" s="41">
        <f t="shared" ref="C3:G3" si="0">D5*4</f>
        <v>0</v>
      </c>
      <c r="D3" s="41">
        <f t="shared" si="0"/>
        <v>0</v>
      </c>
      <c r="E3" s="41">
        <f t="shared" si="0"/>
        <v>0</v>
      </c>
      <c r="F3" s="41">
        <f t="shared" si="0"/>
        <v>0</v>
      </c>
      <c r="G3" s="41">
        <f t="shared" si="0"/>
        <v>0</v>
      </c>
      <c r="H3" s="41">
        <f>(I5*12)*4</f>
        <v>0</v>
      </c>
      <c r="I3" s="41">
        <f t="shared" ref="I3:R3" si="1">(J5*12)*4</f>
        <v>0</v>
      </c>
      <c r="J3" s="41">
        <f t="shared" si="1"/>
        <v>4024300.5245433925</v>
      </c>
      <c r="K3" s="41">
        <f t="shared" si="1"/>
        <v>7554743.3026810028</v>
      </c>
      <c r="L3" s="41">
        <f t="shared" si="1"/>
        <v>14975528.122301765</v>
      </c>
      <c r="M3" s="41">
        <f t="shared" si="1"/>
        <v>36123665.64568907</v>
      </c>
      <c r="N3" s="41">
        <f>(O5*12)*4</f>
        <v>79819083.017490014</v>
      </c>
      <c r="O3" s="41">
        <f t="shared" si="1"/>
        <v>135266062.09372696</v>
      </c>
      <c r="P3" s="41">
        <f t="shared" si="1"/>
        <v>194986983.57092199</v>
      </c>
      <c r="Q3" s="41">
        <f t="shared" si="1"/>
        <v>268760464.60003197</v>
      </c>
      <c r="R3" s="41">
        <f t="shared" si="1"/>
        <v>338362014.84632969</v>
      </c>
      <c r="S3" s="41"/>
      <c r="T3" s="41"/>
    </row>
    <row r="4" spans="1:23" ht="15.95" thickBot="1">
      <c r="A4" s="16" t="s">
        <v>47</v>
      </c>
      <c r="B4" s="17">
        <f>B5+B20</f>
        <v>0</v>
      </c>
      <c r="C4" s="17">
        <f t="shared" ref="C4:S4" si="2">C5+C20</f>
        <v>0</v>
      </c>
      <c r="D4" s="17">
        <f t="shared" si="2"/>
        <v>0</v>
      </c>
      <c r="E4" s="17">
        <f t="shared" si="2"/>
        <v>0</v>
      </c>
      <c r="F4" s="17">
        <f t="shared" si="2"/>
        <v>0</v>
      </c>
      <c r="G4" s="17">
        <f t="shared" si="2"/>
        <v>0</v>
      </c>
      <c r="H4" s="17">
        <f t="shared" si="2"/>
        <v>0</v>
      </c>
      <c r="I4" s="17">
        <f t="shared" si="2"/>
        <v>0</v>
      </c>
      <c r="J4" s="17">
        <f>J5+J20</f>
        <v>0</v>
      </c>
      <c r="K4" s="17">
        <f t="shared" si="2"/>
        <v>83839.594261320672</v>
      </c>
      <c r="L4" s="17">
        <f t="shared" si="2"/>
        <v>157390.4854725209</v>
      </c>
      <c r="M4" s="17">
        <f t="shared" si="2"/>
        <v>311990.16921462008</v>
      </c>
      <c r="N4" s="17">
        <f t="shared" si="2"/>
        <v>752576.36761852237</v>
      </c>
      <c r="O4" s="17">
        <f t="shared" si="2"/>
        <v>1662897.5628643753</v>
      </c>
      <c r="P4" s="17">
        <f t="shared" si="2"/>
        <v>2818042.9602859784</v>
      </c>
      <c r="Q4" s="17">
        <f t="shared" si="2"/>
        <v>4062228.8243942079</v>
      </c>
      <c r="R4" s="17">
        <f t="shared" si="2"/>
        <v>5599176.345834</v>
      </c>
      <c r="S4" s="17">
        <f t="shared" si="2"/>
        <v>7049208.6426318679</v>
      </c>
      <c r="T4" s="17">
        <f t="shared" ref="T4:T37" si="3">SUM(H4:S4)</f>
        <v>22497350.952577412</v>
      </c>
      <c r="V4" s="14"/>
      <c r="W4" s="15"/>
    </row>
    <row r="5" spans="1:23" s="3" customFormat="1">
      <c r="A5" s="18" t="s">
        <v>48</v>
      </c>
      <c r="B5" s="31">
        <f>SUM(B6:B19)</f>
        <v>0</v>
      </c>
      <c r="C5" s="31">
        <f t="shared" ref="C5:S5" si="4">SUM(C6:C19)</f>
        <v>0</v>
      </c>
      <c r="D5" s="31">
        <f t="shared" si="4"/>
        <v>0</v>
      </c>
      <c r="E5" s="31">
        <f t="shared" si="4"/>
        <v>0</v>
      </c>
      <c r="F5" s="31">
        <f t="shared" si="4"/>
        <v>0</v>
      </c>
      <c r="G5" s="31">
        <f t="shared" si="4"/>
        <v>0</v>
      </c>
      <c r="H5" s="31">
        <f t="shared" si="4"/>
        <v>0</v>
      </c>
      <c r="I5" s="31">
        <f t="shared" si="4"/>
        <v>0</v>
      </c>
      <c r="J5" s="31">
        <f>SUM(J6:J19)</f>
        <v>0</v>
      </c>
      <c r="K5" s="31">
        <f t="shared" si="4"/>
        <v>83839.594261320672</v>
      </c>
      <c r="L5" s="31">
        <f>SUM(L6:L19)</f>
        <v>157390.4854725209</v>
      </c>
      <c r="M5" s="31">
        <f t="shared" si="4"/>
        <v>311990.16921462008</v>
      </c>
      <c r="N5" s="31">
        <f t="shared" si="4"/>
        <v>752576.36761852237</v>
      </c>
      <c r="O5" s="31">
        <f t="shared" si="4"/>
        <v>1662897.5628643753</v>
      </c>
      <c r="P5" s="31">
        <f t="shared" si="4"/>
        <v>2818042.9602859784</v>
      </c>
      <c r="Q5" s="31">
        <f t="shared" si="4"/>
        <v>4062228.8243942079</v>
      </c>
      <c r="R5" s="31">
        <f t="shared" si="4"/>
        <v>5599176.345834</v>
      </c>
      <c r="S5" s="31">
        <f t="shared" si="4"/>
        <v>7049208.6426318679</v>
      </c>
      <c r="T5" s="31">
        <f t="shared" si="3"/>
        <v>22497350.952577412</v>
      </c>
    </row>
    <row r="6" spans="1:23" s="2" customFormat="1" outlineLevel="1">
      <c r="A6" s="1" t="s">
        <v>49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3">
        <v>0</v>
      </c>
      <c r="I6" s="147">
        <v>0</v>
      </c>
      <c r="J6" s="33"/>
      <c r="K6" s="33" cm="1">
        <f t="array" ref="K6">INDEX('Proj. Vendas MUVX Core New'!$AD$66:$AD$76, COLUMN(K6)-COLUMN($J$6)+1)</f>
        <v>14932.916899482439</v>
      </c>
      <c r="L6" s="33" cm="1">
        <f t="array" ref="L6">INDEX('Proj. Vendas MUVX Core New'!$AD$66:$AD$76, COLUMN(L6)-COLUMN($J$6)+1)</f>
        <v>16062.561656067177</v>
      </c>
      <c r="M6" s="33" cm="1">
        <f t="array" ref="M6">INDEX('Proj. Vendas MUVX Core New'!$AD$66:$AD$76, COLUMN(M6)-COLUMN($J$6)+1)</f>
        <v>21040.331344710998</v>
      </c>
      <c r="N6" s="33" cm="1">
        <f t="array" ref="N6">INDEX('Proj. Vendas MUVX Core New'!$AD$66:$AD$76, COLUMN(N6)-COLUMN($J$6)+1)</f>
        <v>64678.341735757378</v>
      </c>
      <c r="O6" s="33" cm="1">
        <f t="array" ref="O6">INDEX('Proj. Vendas MUVX Core New'!$AD$66:$AD$76, COLUMN(O6)-COLUMN($J$6)+1)</f>
        <v>215065.81604121407</v>
      </c>
      <c r="P6" s="33" cm="1">
        <f t="array" ref="P6">INDEX('Proj. Vendas MUVX Core New'!$AD$66:$AD$76, COLUMN(P6)-COLUMN($J$6)+1)</f>
        <v>368901.15948429512</v>
      </c>
      <c r="Q6" s="33" cm="1">
        <f t="array" ref="Q6">INDEX('Proj. Vendas MUVX Core New'!$AD$66:$AD$76, COLUMN(Q6)-COLUMN($J$6)+1)</f>
        <v>528847.29964979179</v>
      </c>
      <c r="R6" s="33" cm="1">
        <f t="array" ref="R6">INDEX('Proj. Vendas MUVX Core New'!$AD$66:$AD$76, COLUMN(R6)-COLUMN($J$6)+1)</f>
        <v>689647.22511865979</v>
      </c>
      <c r="S6" s="33" cm="1">
        <f t="array" ref="S6">INDEX('Proj. Vendas MUVX Core New'!$AD$66:$AD$76, COLUMN(S6)-COLUMN($J$6)+1)</f>
        <v>867828.02715757722</v>
      </c>
      <c r="T6" s="33">
        <f t="shared" si="3"/>
        <v>2787003.679087556</v>
      </c>
    </row>
    <row r="7" spans="1:23" s="2" customFormat="1" outlineLevel="1">
      <c r="A7" s="1" t="s">
        <v>50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3">
        <v>0</v>
      </c>
      <c r="I7" s="147">
        <v>0</v>
      </c>
      <c r="J7" s="33"/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f t="shared" si="3"/>
        <v>0</v>
      </c>
    </row>
    <row r="8" spans="1:23" s="2" customFormat="1" outlineLevel="1">
      <c r="A8" s="1" t="s">
        <v>51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3">
        <v>0</v>
      </c>
      <c r="I8" s="147">
        <v>0</v>
      </c>
      <c r="J8" s="33"/>
      <c r="K8" s="33" cm="1">
        <f t="array" ref="K8">INDEX('Proj. Vendas MUVX Core New'!$AE$66:$AE$77, COLUMN(K8)-COLUMN($J$8)+1)</f>
        <v>9414.1024189767832</v>
      </c>
      <c r="L8" s="33" cm="1">
        <f t="array" ref="L8">INDEX('Proj. Vendas MUVX Core New'!$AE$66:$AE$77, COLUMN(L8)-COLUMN($J$8)+1)</f>
        <v>11796.706678812447</v>
      </c>
      <c r="M8" s="33" cm="1">
        <f t="array" ref="M8">INDEX('Proj. Vendas MUVX Core New'!$AE$66:$AE$77, COLUMN(M8)-COLUMN($J$8)+1)</f>
        <v>33240.876928942882</v>
      </c>
      <c r="N8" s="33" cm="1">
        <f t="array" ref="N8">INDEX('Proj. Vendas MUVX Core New'!$AE$66:$AE$77, COLUMN(N8)-COLUMN($J$8)+1)</f>
        <v>106216.90251024309</v>
      </c>
      <c r="O8" s="33" cm="1">
        <f t="array" ref="O8">INDEX('Proj. Vendas MUVX Core New'!$AE$66:$AE$77, COLUMN(O8)-COLUMN($J$8)+1)</f>
        <v>178663.47188352019</v>
      </c>
      <c r="P8" s="33" cm="1">
        <f t="array" ref="P8">INDEX('Proj. Vendas MUVX Core New'!$AE$66:$AE$77, COLUMN(P8)-COLUMN($J$8)+1)</f>
        <v>251841.82478582032</v>
      </c>
      <c r="Q8" s="33" cm="1">
        <f t="array" ref="Q8">INDEX('Proj. Vendas MUVX Core New'!$AE$66:$AE$77, COLUMN(Q8)-COLUMN($J$8)+1)</f>
        <v>323204.77446248307</v>
      </c>
      <c r="R8" s="33" cm="1">
        <f t="array" ref="R8">INDEX('Proj. Vendas MUVX Core New'!$AE$66:$AE$77, COLUMN(R8)-COLUMN($J$8)+1)</f>
        <v>400423.52285293315</v>
      </c>
      <c r="S8" s="33" cm="1">
        <f t="array" ref="S8">INDEX('Proj. Vendas MUVX Core New'!$AE$66:$AE$77, COLUMN(S8)-COLUMN($J$8)+1)</f>
        <v>471771.46733954956</v>
      </c>
      <c r="T8" s="33">
        <f t="shared" si="3"/>
        <v>1786573.6498612817</v>
      </c>
    </row>
    <row r="9" spans="1:23" s="2" customFormat="1" outlineLevel="1">
      <c r="A9" s="1" t="s">
        <v>52</v>
      </c>
      <c r="B9" s="32">
        <v>0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3">
        <v>0</v>
      </c>
      <c r="I9" s="147">
        <v>0</v>
      </c>
      <c r="J9" s="33"/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f t="shared" si="3"/>
        <v>0</v>
      </c>
    </row>
    <row r="10" spans="1:23" s="2" customFormat="1" outlineLevel="1">
      <c r="A10" s="1" t="s">
        <v>53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147">
        <v>0</v>
      </c>
      <c r="J10" s="33"/>
      <c r="K10" s="33" cm="1">
        <f t="array" ref="K10">INDEX('Proj. Vendas MUVX Core New'!$AF$66:$AF$77, COLUMN(K10)-COLUMN($J$10)+1)</f>
        <v>4554.3299819476588</v>
      </c>
      <c r="L10" s="33" cm="1">
        <f t="array" ref="L10">INDEX('Proj. Vendas MUVX Core New'!$AF$66:$AF$77, COLUMN(L10)-COLUMN($J$10)+1)</f>
        <v>5305.2455425119788</v>
      </c>
      <c r="M10" s="33" cm="1">
        <f t="array" ref="M10">INDEX('Proj. Vendas MUVX Core New'!$AF$66:$AF$77, COLUMN(M10)-COLUMN($J$10)+1)</f>
        <v>12031.321850154984</v>
      </c>
      <c r="N10" s="33" cm="1">
        <f t="array" ref="N10">INDEX('Proj. Vendas MUVX Core New'!$AF$66:$AF$77, COLUMN(N10)-COLUMN($J$10)+1)</f>
        <v>35063.269347204572</v>
      </c>
      <c r="O10" s="33" cm="1">
        <f t="array" ref="O10">INDEX('Proj. Vendas MUVX Core New'!$AF$66:$AF$77, COLUMN(O10)-COLUMN($J$10)+1)</f>
        <v>57895.955903237409</v>
      </c>
      <c r="P10" s="33" cm="1">
        <f t="array" ref="P10">INDEX('Proj. Vendas MUVX Core New'!$AF$66:$AF$77, COLUMN(P10)-COLUMN($J$10)+1)</f>
        <v>80959.275656805941</v>
      </c>
      <c r="Q10" s="33" cm="1">
        <f t="array" ref="Q10">INDEX('Proj. Vendas MUVX Core New'!$AF$66:$AF$77, COLUMN(Q10)-COLUMN($J$10)+1)</f>
        <v>103434.24505556221</v>
      </c>
      <c r="R10" s="33" cm="1">
        <f t="array" ref="R10">INDEX('Proj. Vendas MUVX Core New'!$AF$66:$AF$77, COLUMN(R10)-COLUMN($J$10)+1)</f>
        <v>127787.15680118036</v>
      </c>
      <c r="S10" s="33" cm="1">
        <f t="array" ref="S10">INDEX('Proj. Vendas MUVX Core New'!$AF$66:$AF$77, COLUMN(S10)-COLUMN($J$10)+1)</f>
        <v>150257.39707605945</v>
      </c>
      <c r="T10" s="33">
        <f t="shared" si="3"/>
        <v>577288.19721466454</v>
      </c>
    </row>
    <row r="11" spans="1:23" s="2" customFormat="1" outlineLevel="1">
      <c r="A11" s="1" t="s">
        <v>54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147">
        <v>0</v>
      </c>
      <c r="J11" s="33"/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f t="shared" si="3"/>
        <v>0</v>
      </c>
    </row>
    <row r="12" spans="1:23" s="2" customFormat="1" outlineLevel="1">
      <c r="A12" s="1" t="s">
        <v>55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3">
        <v>0</v>
      </c>
      <c r="I12" s="147">
        <v>0</v>
      </c>
      <c r="J12" s="33"/>
      <c r="K12" s="33">
        <v>16537.5</v>
      </c>
      <c r="L12" s="33">
        <v>17364.375</v>
      </c>
      <c r="M12" s="33">
        <v>18232.59375</v>
      </c>
      <c r="N12" s="33">
        <v>19144.223437500001</v>
      </c>
      <c r="O12" s="33">
        <v>20101.434609375003</v>
      </c>
      <c r="P12" s="33">
        <v>21106.506339843752</v>
      </c>
      <c r="Q12" s="33">
        <v>22161.831656835941</v>
      </c>
      <c r="R12" s="33">
        <v>23269.923239677737</v>
      </c>
      <c r="S12" s="33">
        <v>24433.419401661624</v>
      </c>
      <c r="T12" s="33">
        <f t="shared" si="3"/>
        <v>182351.80743489403</v>
      </c>
    </row>
    <row r="13" spans="1:23" s="2" customFormat="1" outlineLevel="1">
      <c r="A13" s="1" t="s">
        <v>56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3">
        <v>0</v>
      </c>
      <c r="I13" s="147">
        <v>0</v>
      </c>
      <c r="J13" s="33"/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f t="shared" si="3"/>
        <v>0</v>
      </c>
    </row>
    <row r="14" spans="1:23" s="2" customFormat="1" outlineLevel="1">
      <c r="A14" s="1" t="s">
        <v>57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3">
        <v>0</v>
      </c>
      <c r="I14" s="147">
        <v>0</v>
      </c>
      <c r="J14" s="33"/>
      <c r="K14" s="33" cm="1">
        <f t="array" ref="K14">INDEX('Proj. Vendas Influencia Faixa'!$H$47:$H$58, COLUMN(K14)-COLUMN($J$14)+1)</f>
        <v>18105.599999999999</v>
      </c>
      <c r="L14" s="33" cm="1">
        <f t="array" ref="L14">INDEX('Proj. Vendas Influencia Faixa'!$H$47:$H$58, COLUMN(L14)-COLUMN($J$14)+1)</f>
        <v>36211.199999999997</v>
      </c>
      <c r="M14" s="33" cm="1">
        <f t="array" ref="M14">INDEX('Proj. Vendas Influencia Faixa'!$H$47:$H$58, COLUMN(M14)-COLUMN($J$14)+1)</f>
        <v>63369.599999999999</v>
      </c>
      <c r="N14" s="33" cm="1">
        <f t="array" ref="N14">INDEX('Proj. Vendas Influencia Faixa'!$H$47:$H$58, COLUMN(N14)-COLUMN($J$14)+1)</f>
        <v>90528.000000000015</v>
      </c>
      <c r="O14" s="33" cm="1">
        <f t="array" ref="O14">INDEX('Proj. Vendas Influencia Faixa'!$H$47:$H$58, COLUMN(O14)-COLUMN($J$14)+1)</f>
        <v>117686.40000000002</v>
      </c>
      <c r="P14" s="33" cm="1">
        <f t="array" ref="P14">INDEX('Proj. Vendas Influencia Faixa'!$H$47:$H$58, COLUMN(P14)-COLUMN($J$14)+1)</f>
        <v>145750.08000000002</v>
      </c>
      <c r="Q14" s="33" cm="1">
        <f t="array" ref="Q14">INDEX('Proj. Vendas Influencia Faixa'!$H$47:$H$58, COLUMN(Q14)-COLUMN($J$14)+1)</f>
        <v>152793.15840000001</v>
      </c>
      <c r="R14" s="33" cm="1">
        <f t="array" ref="R14">INDEX('Proj. Vendas Influencia Faixa'!$H$47:$H$58, COLUMN(R14)-COLUMN($J$14)+1)</f>
        <v>159836.23680000004</v>
      </c>
      <c r="S14" s="33" cm="1">
        <f t="array" ref="S14">INDEX('Proj. Vendas Influencia Faixa'!$H$47:$H$58, COLUMN(S14)-COLUMN($J$14)+1)</f>
        <v>166879.31520000004</v>
      </c>
      <c r="T14" s="33">
        <f t="shared" si="3"/>
        <v>951159.59040000022</v>
      </c>
    </row>
    <row r="15" spans="1:23" s="2" customFormat="1" outlineLevel="1">
      <c r="A15" s="1" t="s">
        <v>58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3">
        <v>0</v>
      </c>
      <c r="I15" s="147">
        <v>0</v>
      </c>
      <c r="J15" s="33"/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f t="shared" si="3"/>
        <v>0</v>
      </c>
    </row>
    <row r="16" spans="1:23" s="2" customFormat="1" outlineLevel="1">
      <c r="A16" s="1" t="s">
        <v>59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3">
        <v>0</v>
      </c>
      <c r="I16" s="147">
        <v>0</v>
      </c>
      <c r="J16" s="33"/>
      <c r="K16" s="33" cm="1">
        <f t="array" ref="K16">INDEX('Proj. Vendas MUVX Digital'!$X$65:$X$73, COLUMN(K16)-COLUMN($K$16)+1)</f>
        <v>7161.710082589283</v>
      </c>
      <c r="L16" s="33" cm="1">
        <f t="array" ref="L16">INDEX('Proj. Vendas MUVX Digital'!$X$65:$X$73, COLUMN(L16)-COLUMN($K$16)+1)</f>
        <v>17524.203905433667</v>
      </c>
      <c r="M16" s="33" cm="1">
        <f t="array" ref="M16">INDEX('Proj. Vendas MUVX Digital'!$X$65:$X$73, COLUMN(M16)-COLUMN($K$16)+1)</f>
        <v>71950.64776803783</v>
      </c>
      <c r="N16" s="33" cm="1">
        <f t="array" ref="N16">INDEX('Proj. Vendas MUVX Digital'!$X$65:$X$73, COLUMN(N16)-COLUMN($K$16)+1)</f>
        <v>126639.32992657776</v>
      </c>
      <c r="O16" s="33" cm="1">
        <f t="array" ref="O16">INDEX('Proj. Vendas MUVX Digital'!$X$65:$X$73, COLUMN(O16)-COLUMN($K$16)+1)</f>
        <v>432960.91571916395</v>
      </c>
      <c r="P16" s="33" cm="1">
        <f t="array" ref="P16">INDEX('Proj. Vendas MUVX Digital'!$X$65:$X$73, COLUMN(P16)-COLUMN($K$16)+1)</f>
        <v>907108.54181935638</v>
      </c>
      <c r="Q16" s="33" cm="1">
        <f t="array" ref="Q16">INDEX('Proj. Vendas MUVX Digital'!$X$65:$X$73, COLUMN(Q16)-COLUMN($K$16)+1)</f>
        <v>1498353.9232479772</v>
      </c>
      <c r="R16" s="33" cm="1">
        <f t="array" ref="R16">INDEX('Proj. Vendas MUVX Digital'!$X$65:$X$73, COLUMN(R16)-COLUMN($K$16)+1)</f>
        <v>2091384.1104918895</v>
      </c>
      <c r="S16" s="33" cm="1">
        <f t="array" ref="S16">INDEX('Proj. Vendas MUVX Digital'!$X$65:$X$73, COLUMN(S16)-COLUMN($K$16)+1)</f>
        <v>3119976.9483411834</v>
      </c>
      <c r="T16" s="33">
        <f t="shared" si="3"/>
        <v>8273060.3313022088</v>
      </c>
    </row>
    <row r="17" spans="1:23" s="2" customFormat="1" outlineLevel="1">
      <c r="A17" s="1" t="s">
        <v>60</v>
      </c>
      <c r="B17" s="32">
        <v>0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3">
        <v>0</v>
      </c>
      <c r="I17" s="147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f t="shared" si="3"/>
        <v>0</v>
      </c>
    </row>
    <row r="18" spans="1:23" s="2" customFormat="1" outlineLevel="1">
      <c r="A18" s="1" t="s">
        <v>61</v>
      </c>
      <c r="B18" s="32">
        <v>0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3">
        <v>0</v>
      </c>
      <c r="I18" s="147">
        <v>0</v>
      </c>
      <c r="J18" s="33">
        <v>0</v>
      </c>
      <c r="K18" s="33" cm="1">
        <f t="array" ref="K18">INDEX('Proj. Vendas MUVX Digital'!$Y$65:$Y$73, COLUMN(Y16)-COLUMN($Y$16)+1)</f>
        <v>13133.434878324508</v>
      </c>
      <c r="L18" s="33" cm="1">
        <f t="array" ref="L18">INDEX('Proj. Vendas MUVX Digital'!$Y$65:$Y$73, COLUMN(Z16)-COLUMN($Y$16)+1)</f>
        <v>53126.192689695636</v>
      </c>
      <c r="M18" s="33" cm="1">
        <f t="array" ref="M18">INDEX('Proj. Vendas MUVX Digital'!$Y$65:$Y$73, COLUMN(AA16)-COLUMN($Y$16)+1)</f>
        <v>92124.797572773386</v>
      </c>
      <c r="N18" s="33" cm="1">
        <f t="array" ref="N18">INDEX('Proj. Vendas MUVX Digital'!$Y$65:$Y$73, COLUMN(AB16)-COLUMN($Y$16)+1)</f>
        <v>310306.30066123954</v>
      </c>
      <c r="O18" s="33" cm="1">
        <f t="array" ref="O18">INDEX('Proj. Vendas MUVX Digital'!$Y$65:$Y$73, COLUMN(AC16)-COLUMN($Y$16)+1)</f>
        <v>640523.56870786473</v>
      </c>
      <c r="P18" s="33" cm="1">
        <f t="array" ref="P18">INDEX('Proj. Vendas MUVX Digital'!$Y$65:$Y$73, COLUMN(AD16)-COLUMN($Y$16)+1)</f>
        <v>1042375.5721998569</v>
      </c>
      <c r="Q18" s="33" cm="1">
        <f t="array" ref="Q18">INDEX('Proj. Vendas MUVX Digital'!$Y$65:$Y$73, COLUMN(AE16)-COLUMN($Y$16)+1)</f>
        <v>1433433.5919215577</v>
      </c>
      <c r="R18" s="33" cm="1">
        <f t="array" ref="R18">INDEX('Proj. Vendas MUVX Digital'!$Y$65:$Y$73, COLUMN(AF16)-COLUMN($Y$16)+1)</f>
        <v>2106828.1705296598</v>
      </c>
      <c r="S18" s="33" cm="1">
        <f t="array" ref="S18">INDEX('Proj. Vendas MUVX Digital'!$Y$65:$Y$73, COLUMN(AG16)-COLUMN($Y$16)+1)</f>
        <v>2248062.068115836</v>
      </c>
      <c r="T18" s="33">
        <f t="shared" si="3"/>
        <v>7939913.6972768083</v>
      </c>
    </row>
    <row r="19" spans="1:23" s="2" customFormat="1" outlineLevel="1">
      <c r="A19" s="1" t="s">
        <v>62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3">
        <v>0</v>
      </c>
      <c r="I19" s="147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f t="shared" si="3"/>
        <v>0</v>
      </c>
    </row>
    <row r="20" spans="1:23" s="3" customFormat="1" ht="15.95" thickBot="1">
      <c r="A20" s="18" t="s">
        <v>63</v>
      </c>
      <c r="B20" s="31">
        <f>SUM(B21:B24)</f>
        <v>0</v>
      </c>
      <c r="C20" s="31">
        <f t="shared" ref="C20:R20" si="5">SUM(C21:C24)</f>
        <v>0</v>
      </c>
      <c r="D20" s="31">
        <f t="shared" si="5"/>
        <v>0</v>
      </c>
      <c r="E20" s="31">
        <f t="shared" si="5"/>
        <v>0</v>
      </c>
      <c r="F20" s="31">
        <f t="shared" si="5"/>
        <v>0</v>
      </c>
      <c r="G20" s="31">
        <f t="shared" si="5"/>
        <v>0</v>
      </c>
      <c r="H20" s="31">
        <f t="shared" si="5"/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1">
        <f t="shared" si="5"/>
        <v>0</v>
      </c>
      <c r="S20" s="31">
        <f>SUM(S21:S24)</f>
        <v>0</v>
      </c>
      <c r="T20" s="31">
        <f t="shared" si="3"/>
        <v>0</v>
      </c>
    </row>
    <row r="21" spans="1:23" s="2" customFormat="1" hidden="1" outlineLevel="1">
      <c r="A21" s="1" t="s">
        <v>64</v>
      </c>
      <c r="B21" s="32">
        <v>0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3">
        <v>0</v>
      </c>
      <c r="I21" s="33">
        <v>0</v>
      </c>
      <c r="J21" s="33">
        <v>0</v>
      </c>
      <c r="K21" s="33">
        <v>0</v>
      </c>
      <c r="L21" s="147">
        <v>0</v>
      </c>
      <c r="M21" s="147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f t="shared" si="3"/>
        <v>0</v>
      </c>
    </row>
    <row r="22" spans="1:23" s="2" customFormat="1" hidden="1" outlineLevel="1">
      <c r="A22" s="1" t="s">
        <v>65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f t="shared" si="3"/>
        <v>0</v>
      </c>
    </row>
    <row r="23" spans="1:23" s="2" customFormat="1" hidden="1" outlineLevel="1">
      <c r="A23" s="1" t="s">
        <v>66</v>
      </c>
      <c r="B23" s="32">
        <v>0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3">
        <v>0</v>
      </c>
      <c r="I23" s="147">
        <v>0</v>
      </c>
      <c r="J23" s="147">
        <v>0</v>
      </c>
      <c r="K23" s="147">
        <v>0</v>
      </c>
      <c r="L23" s="147">
        <v>0</v>
      </c>
      <c r="M23" s="147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f t="shared" si="3"/>
        <v>0</v>
      </c>
    </row>
    <row r="24" spans="1:23" s="2" customFormat="1" ht="15.95" hidden="1" outlineLevel="1" thickBot="1">
      <c r="A24" s="1" t="s">
        <v>67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3">
        <f t="shared" si="3"/>
        <v>0</v>
      </c>
    </row>
    <row r="25" spans="1:23" ht="15.95" collapsed="1" thickBot="1">
      <c r="A25" s="19" t="s">
        <v>68</v>
      </c>
      <c r="B25" s="20">
        <f t="shared" ref="B25:S25" si="6">B26+B76+B86+B142</f>
        <v>0</v>
      </c>
      <c r="C25" s="20">
        <f t="shared" si="6"/>
        <v>3887.33</v>
      </c>
      <c r="D25" s="20">
        <f t="shared" si="6"/>
        <v>73368.929999999993</v>
      </c>
      <c r="E25" s="20">
        <f t="shared" si="6"/>
        <v>165876.82</v>
      </c>
      <c r="F25" s="20">
        <f t="shared" si="6"/>
        <v>217155.82</v>
      </c>
      <c r="G25" s="20">
        <f t="shared" si="6"/>
        <v>211330.66999999998</v>
      </c>
      <c r="H25" s="20">
        <f>H26+H76+H86+H142</f>
        <v>222684.31</v>
      </c>
      <c r="I25" s="20">
        <f t="shared" si="6"/>
        <v>215511.16999999998</v>
      </c>
      <c r="J25" s="20">
        <f t="shared" si="6"/>
        <v>212082.91</v>
      </c>
      <c r="K25" s="20">
        <f t="shared" si="6"/>
        <v>206362.03999999998</v>
      </c>
      <c r="L25" s="20">
        <f t="shared" si="6"/>
        <v>203662.51131135845</v>
      </c>
      <c r="M25" s="20">
        <f t="shared" si="6"/>
        <v>270354.39825670252</v>
      </c>
      <c r="N25" s="20">
        <f t="shared" si="6"/>
        <v>601421.57030575443</v>
      </c>
      <c r="O25" s="20">
        <f t="shared" si="6"/>
        <v>811066.82411422266</v>
      </c>
      <c r="P25" s="20">
        <f t="shared" si="6"/>
        <v>986777.2555437251</v>
      </c>
      <c r="Q25" s="20">
        <f t="shared" si="6"/>
        <v>1242577.9976343173</v>
      </c>
      <c r="R25" s="20">
        <f t="shared" si="6"/>
        <v>1487310.7826473049</v>
      </c>
      <c r="S25" s="20">
        <f t="shared" si="6"/>
        <v>1782652.4560560801</v>
      </c>
      <c r="T25" s="20">
        <f t="shared" si="3"/>
        <v>8242464.2258694656</v>
      </c>
      <c r="V25" s="14"/>
      <c r="W25" s="15"/>
    </row>
    <row r="26" spans="1:23" s="3" customFormat="1">
      <c r="A26" s="21" t="s">
        <v>69</v>
      </c>
      <c r="B26" s="34">
        <f t="shared" ref="B26:S26" si="7">B27+B34+B37+B68</f>
        <v>0</v>
      </c>
      <c r="C26" s="34">
        <f t="shared" si="7"/>
        <v>3637.33</v>
      </c>
      <c r="D26" s="34">
        <f t="shared" si="7"/>
        <v>71613.929999999993</v>
      </c>
      <c r="E26" s="34">
        <f t="shared" si="7"/>
        <v>111603.37999999999</v>
      </c>
      <c r="F26" s="34">
        <f t="shared" si="7"/>
        <v>136259.63</v>
      </c>
      <c r="G26" s="34">
        <f t="shared" si="7"/>
        <v>156573.31</v>
      </c>
      <c r="H26" s="34">
        <f>H27+H34+H37+H68</f>
        <v>145929.15000000002</v>
      </c>
      <c r="I26" s="34">
        <f t="shared" si="7"/>
        <v>173607.66</v>
      </c>
      <c r="J26" s="34">
        <f t="shared" si="7"/>
        <v>156816.4</v>
      </c>
      <c r="K26" s="34">
        <f t="shared" si="7"/>
        <v>146809.87</v>
      </c>
      <c r="L26" s="34">
        <f t="shared" si="7"/>
        <v>106584.09</v>
      </c>
      <c r="M26" s="34">
        <f t="shared" si="7"/>
        <v>122702.50000000001</v>
      </c>
      <c r="N26" s="34">
        <f t="shared" si="7"/>
        <v>188251.75000000003</v>
      </c>
      <c r="O26" s="34">
        <f t="shared" si="7"/>
        <v>271393.51</v>
      </c>
      <c r="P26" s="34">
        <f t="shared" si="7"/>
        <v>299194.79800000001</v>
      </c>
      <c r="Q26" s="34">
        <f t="shared" si="7"/>
        <v>372612.62239999999</v>
      </c>
      <c r="R26" s="34">
        <f t="shared" si="7"/>
        <v>423916.67162000004</v>
      </c>
      <c r="S26" s="34">
        <f t="shared" si="7"/>
        <v>484218.94498100004</v>
      </c>
      <c r="T26" s="34">
        <f t="shared" si="3"/>
        <v>2892037.967001</v>
      </c>
    </row>
    <row r="27" spans="1:23" s="23" customFormat="1">
      <c r="A27" s="22" t="s">
        <v>70</v>
      </c>
      <c r="B27" s="35">
        <f>SUM(B28:B33)</f>
        <v>0</v>
      </c>
      <c r="C27" s="35">
        <f t="shared" ref="C27:S27" si="8">SUM(C28:C33)</f>
        <v>0</v>
      </c>
      <c r="D27" s="35">
        <f t="shared" si="8"/>
        <v>66667.12</v>
      </c>
      <c r="E27" s="35">
        <f t="shared" si="8"/>
        <v>82399.37999999999</v>
      </c>
      <c r="F27" s="35">
        <f t="shared" si="8"/>
        <v>105680.58</v>
      </c>
      <c r="G27" s="35">
        <f t="shared" si="8"/>
        <v>109604.61</v>
      </c>
      <c r="H27" s="35">
        <f t="shared" si="8"/>
        <v>111812.77</v>
      </c>
      <c r="I27" s="35">
        <f t="shared" si="8"/>
        <v>141622.32</v>
      </c>
      <c r="J27" s="35">
        <f t="shared" si="8"/>
        <v>136224.41</v>
      </c>
      <c r="K27" s="35">
        <f t="shared" si="8"/>
        <v>116000</v>
      </c>
      <c r="L27" s="35">
        <f t="shared" si="8"/>
        <v>91100</v>
      </c>
      <c r="M27" s="35">
        <f t="shared" si="8"/>
        <v>100320.00000000001</v>
      </c>
      <c r="N27" s="35">
        <f t="shared" si="8"/>
        <v>110484.00000000003</v>
      </c>
      <c r="O27" s="35">
        <f t="shared" si="8"/>
        <v>192739.20000000004</v>
      </c>
      <c r="P27" s="35">
        <f t="shared" si="8"/>
        <v>219492.96000000002</v>
      </c>
      <c r="Q27" s="35">
        <f t="shared" si="8"/>
        <v>291659.24800000002</v>
      </c>
      <c r="R27" s="35">
        <f t="shared" si="8"/>
        <v>339748.06240000005</v>
      </c>
      <c r="S27" s="35">
        <f t="shared" si="8"/>
        <v>399911.28112000006</v>
      </c>
      <c r="T27" s="35">
        <f t="shared" si="3"/>
        <v>2251114.2515200004</v>
      </c>
    </row>
    <row r="28" spans="1:23" s="25" customFormat="1" outlineLevel="1">
      <c r="A28" s="156" t="s">
        <v>71</v>
      </c>
      <c r="B28" s="156"/>
      <c r="C28" s="156"/>
      <c r="D28" s="156"/>
      <c r="E28" s="157">
        <v>1447.9</v>
      </c>
      <c r="F28" s="156"/>
      <c r="G28" s="157">
        <v>3061</v>
      </c>
      <c r="H28" s="158"/>
      <c r="I28" s="163">
        <v>1326.44</v>
      </c>
      <c r="J28" s="172">
        <v>1224.4100000000001</v>
      </c>
      <c r="K28" s="36">
        <v>1000</v>
      </c>
      <c r="L28" s="36">
        <f>K28*1.1</f>
        <v>1100</v>
      </c>
      <c r="M28" s="36">
        <f t="shared" ref="L28:N28" si="9">L28*1.2</f>
        <v>1320</v>
      </c>
      <c r="N28" s="36">
        <f t="shared" si="9"/>
        <v>1584</v>
      </c>
      <c r="O28" s="36">
        <f>N28*1.3</f>
        <v>2059.2000000000003</v>
      </c>
      <c r="P28" s="36">
        <f t="shared" ref="P28:S28" si="10">O28*1.3</f>
        <v>2676.9600000000005</v>
      </c>
      <c r="Q28" s="36">
        <f t="shared" si="10"/>
        <v>3480.0480000000007</v>
      </c>
      <c r="R28" s="36">
        <f t="shared" si="10"/>
        <v>4524.0624000000007</v>
      </c>
      <c r="S28" s="36">
        <f t="shared" si="10"/>
        <v>5881.2811200000015</v>
      </c>
      <c r="T28" s="33">
        <f t="shared" si="3"/>
        <v>26176.401520000007</v>
      </c>
    </row>
    <row r="29" spans="1:23" s="25" customFormat="1" outlineLevel="1">
      <c r="A29" s="156" t="s">
        <v>72</v>
      </c>
      <c r="B29" s="156">
        <v>0</v>
      </c>
      <c r="C29" s="156">
        <v>0</v>
      </c>
      <c r="D29" s="157">
        <v>66667.12</v>
      </c>
      <c r="E29" s="157">
        <v>80951.48</v>
      </c>
      <c r="F29" s="157">
        <v>101227.58</v>
      </c>
      <c r="G29" s="157">
        <v>106458.61</v>
      </c>
      <c r="H29" s="157">
        <v>111812.77</v>
      </c>
      <c r="I29" s="163">
        <v>140295.88</v>
      </c>
      <c r="J29" s="36">
        <v>135000</v>
      </c>
      <c r="K29" s="149">
        <v>115000</v>
      </c>
      <c r="L29" s="149">
        <v>90000</v>
      </c>
      <c r="M29" s="36">
        <f t="shared" ref="M29:N29" si="11">L29*1.1</f>
        <v>99000.000000000015</v>
      </c>
      <c r="N29" s="36">
        <f t="shared" si="11"/>
        <v>108900.00000000003</v>
      </c>
      <c r="O29" s="36">
        <f>N29*1.2</f>
        <v>130680.00000000003</v>
      </c>
      <c r="P29" s="36">
        <f t="shared" ref="P29:Q29" si="12">O29*1.2</f>
        <v>156816.00000000003</v>
      </c>
      <c r="Q29" s="36">
        <f t="shared" si="12"/>
        <v>188179.20000000004</v>
      </c>
      <c r="R29" s="36">
        <f>Q29*1.25</f>
        <v>235224.00000000006</v>
      </c>
      <c r="S29" s="36">
        <f>R29*1.25</f>
        <v>294030.00000000006</v>
      </c>
      <c r="T29" s="33">
        <f t="shared" si="3"/>
        <v>1804937.85</v>
      </c>
    </row>
    <row r="30" spans="1:23" s="25" customFormat="1" outlineLevel="1">
      <c r="A30" s="156" t="s">
        <v>73</v>
      </c>
      <c r="B30" s="156"/>
      <c r="C30" s="156"/>
      <c r="D30" s="156"/>
      <c r="E30" s="156"/>
      <c r="F30" s="156"/>
      <c r="G30" s="156"/>
      <c r="H30" s="156"/>
      <c r="I30" s="156"/>
      <c r="J30" s="36"/>
      <c r="K30" s="36"/>
      <c r="L30" s="36"/>
      <c r="M30" s="36"/>
      <c r="N30" s="36"/>
      <c r="O30" s="36">
        <v>60000</v>
      </c>
      <c r="P30" s="36">
        <v>60000</v>
      </c>
      <c r="Q30" s="36">
        <v>100000</v>
      </c>
      <c r="R30" s="36">
        <v>100000</v>
      </c>
      <c r="S30" s="36">
        <v>100000</v>
      </c>
      <c r="T30" s="33">
        <f t="shared" si="3"/>
        <v>420000</v>
      </c>
    </row>
    <row r="31" spans="1:23" s="25" customFormat="1" outlineLevel="1">
      <c r="A31" s="156" t="s">
        <v>74</v>
      </c>
      <c r="B31" s="156"/>
      <c r="C31" s="156"/>
      <c r="D31" s="156"/>
      <c r="E31" s="156"/>
      <c r="F31" s="156">
        <v>85</v>
      </c>
      <c r="G31" s="156">
        <v>85</v>
      </c>
      <c r="H31" s="156"/>
      <c r="I31" s="15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3">
        <f t="shared" si="3"/>
        <v>0</v>
      </c>
    </row>
    <row r="32" spans="1:23" s="25" customFormat="1" outlineLevel="1">
      <c r="A32" s="156" t="s">
        <v>75</v>
      </c>
      <c r="B32" s="156"/>
      <c r="C32" s="156"/>
      <c r="D32" s="156"/>
      <c r="E32" s="156"/>
      <c r="F32" s="156"/>
      <c r="G32" s="156"/>
      <c r="H32" s="156"/>
      <c r="I32" s="15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3">
        <f t="shared" si="3"/>
        <v>0</v>
      </c>
    </row>
    <row r="33" spans="1:20" s="25" customFormat="1" outlineLevel="1">
      <c r="A33" s="156" t="s">
        <v>76</v>
      </c>
      <c r="B33" s="156"/>
      <c r="C33" s="156"/>
      <c r="D33" s="156"/>
      <c r="E33" s="156"/>
      <c r="F33" s="157">
        <v>4368</v>
      </c>
      <c r="G33" s="156"/>
      <c r="H33" s="156"/>
      <c r="I33" s="15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3">
        <f t="shared" si="3"/>
        <v>0</v>
      </c>
    </row>
    <row r="34" spans="1:20" s="23" customFormat="1">
      <c r="A34" s="22" t="s">
        <v>77</v>
      </c>
      <c r="B34" s="35">
        <f>SUM(B35:B36)</f>
        <v>0</v>
      </c>
      <c r="C34" s="35">
        <f t="shared" ref="C34:S34" si="13">SUM(C35:C36)</f>
        <v>0</v>
      </c>
      <c r="D34" s="35">
        <f t="shared" si="13"/>
        <v>0</v>
      </c>
      <c r="E34" s="35">
        <f t="shared" si="13"/>
        <v>4360</v>
      </c>
      <c r="F34" s="35">
        <f t="shared" si="13"/>
        <v>0</v>
      </c>
      <c r="G34" s="35">
        <f t="shared" si="13"/>
        <v>14560</v>
      </c>
      <c r="H34" s="35">
        <f t="shared" si="13"/>
        <v>0</v>
      </c>
      <c r="I34" s="35">
        <f t="shared" si="13"/>
        <v>0</v>
      </c>
      <c r="J34" s="35">
        <f t="shared" si="13"/>
        <v>0</v>
      </c>
      <c r="K34" s="35">
        <f>SUM(K35:K36)</f>
        <v>14560</v>
      </c>
      <c r="L34" s="35">
        <f t="shared" si="13"/>
        <v>0</v>
      </c>
      <c r="M34" s="35">
        <f t="shared" si="13"/>
        <v>0</v>
      </c>
      <c r="N34" s="35">
        <f t="shared" si="13"/>
        <v>45000</v>
      </c>
      <c r="O34" s="35">
        <f t="shared" si="13"/>
        <v>45000</v>
      </c>
      <c r="P34" s="35">
        <f t="shared" si="13"/>
        <v>45000</v>
      </c>
      <c r="Q34" s="35">
        <f t="shared" si="13"/>
        <v>45000</v>
      </c>
      <c r="R34" s="35">
        <f t="shared" si="13"/>
        <v>45000</v>
      </c>
      <c r="S34" s="35">
        <f t="shared" si="13"/>
        <v>45000</v>
      </c>
      <c r="T34" s="35">
        <f t="shared" si="3"/>
        <v>284560</v>
      </c>
    </row>
    <row r="35" spans="1:20" s="25" customFormat="1" hidden="1" outlineLevel="1">
      <c r="A35" s="156" t="s">
        <v>78</v>
      </c>
      <c r="B35" s="156"/>
      <c r="C35" s="156"/>
      <c r="D35" s="156"/>
      <c r="E35" s="157">
        <v>4360</v>
      </c>
      <c r="F35" s="156"/>
      <c r="G35" s="157">
        <v>14560</v>
      </c>
      <c r="H35" s="156"/>
      <c r="I35" s="157"/>
      <c r="K35" s="157">
        <f>14560</f>
        <v>14560</v>
      </c>
      <c r="L35" s="149"/>
      <c r="M35" s="149"/>
      <c r="N35" s="36">
        <v>20000</v>
      </c>
      <c r="O35" s="36">
        <v>20000</v>
      </c>
      <c r="P35" s="36">
        <v>20000</v>
      </c>
      <c r="Q35" s="36">
        <v>20000</v>
      </c>
      <c r="R35" s="36">
        <v>20000</v>
      </c>
      <c r="S35" s="36">
        <v>20000</v>
      </c>
      <c r="T35" s="33">
        <f t="shared" si="3"/>
        <v>134560</v>
      </c>
    </row>
    <row r="36" spans="1:20" s="25" customFormat="1" hidden="1" outlineLevel="1">
      <c r="A36" s="156" t="s">
        <v>79</v>
      </c>
      <c r="B36" s="156"/>
      <c r="C36" s="156"/>
      <c r="D36" s="156"/>
      <c r="E36" s="156"/>
      <c r="F36" s="156"/>
      <c r="G36" s="156"/>
      <c r="H36" s="156"/>
      <c r="I36" s="156"/>
      <c r="J36" s="36"/>
      <c r="K36" s="36"/>
      <c r="L36" s="36"/>
      <c r="M36" s="36"/>
      <c r="N36" s="36">
        <v>25000</v>
      </c>
      <c r="O36" s="36">
        <v>25000</v>
      </c>
      <c r="P36" s="36">
        <v>25000</v>
      </c>
      <c r="Q36" s="36">
        <v>25000</v>
      </c>
      <c r="R36" s="36">
        <v>25000</v>
      </c>
      <c r="S36" s="36">
        <v>25000</v>
      </c>
      <c r="T36" s="33">
        <f t="shared" si="3"/>
        <v>150000</v>
      </c>
    </row>
    <row r="37" spans="1:20" s="23" customFormat="1" collapsed="1">
      <c r="A37" s="22" t="s">
        <v>80</v>
      </c>
      <c r="B37" s="35">
        <f>SUM(B38:B67)</f>
        <v>0</v>
      </c>
      <c r="C37" s="35">
        <f t="shared" ref="C37:S37" si="14">SUM(C38:C67)</f>
        <v>440.33</v>
      </c>
      <c r="D37" s="35">
        <f t="shared" si="14"/>
        <v>1145.94</v>
      </c>
      <c r="E37" s="35">
        <f t="shared" si="14"/>
        <v>8692.7200000000012</v>
      </c>
      <c r="F37" s="35">
        <f t="shared" si="14"/>
        <v>8355.6500000000015</v>
      </c>
      <c r="G37" s="35">
        <f t="shared" si="14"/>
        <v>10249.700000000001</v>
      </c>
      <c r="H37" s="35">
        <f t="shared" si="14"/>
        <v>17704.38</v>
      </c>
      <c r="I37" s="35">
        <f>SUM(I38:I67)</f>
        <v>15170.339999999997</v>
      </c>
      <c r="J37" s="35">
        <f t="shared" si="14"/>
        <v>12876.989999999998</v>
      </c>
      <c r="K37" s="35">
        <f t="shared" si="14"/>
        <v>8534.869999999999</v>
      </c>
      <c r="L37" s="35">
        <f t="shared" si="14"/>
        <v>7769.0899999999983</v>
      </c>
      <c r="M37" s="35">
        <f>SUM(M38:M67)</f>
        <v>14667.499999999998</v>
      </c>
      <c r="N37" s="35">
        <f t="shared" si="14"/>
        <v>15052.749999999998</v>
      </c>
      <c r="O37" s="35">
        <f t="shared" si="14"/>
        <v>15939.31</v>
      </c>
      <c r="P37" s="35">
        <f t="shared" si="14"/>
        <v>16986.838</v>
      </c>
      <c r="Q37" s="35">
        <f t="shared" si="14"/>
        <v>18238.374400000001</v>
      </c>
      <c r="R37" s="35">
        <f t="shared" si="14"/>
        <v>21453.609220000002</v>
      </c>
      <c r="S37" s="35">
        <f t="shared" si="14"/>
        <v>21592.663861000008</v>
      </c>
      <c r="T37" s="35">
        <f t="shared" si="3"/>
        <v>185986.71548100002</v>
      </c>
    </row>
    <row r="38" spans="1:20" s="25" customFormat="1" outlineLevel="1">
      <c r="A38" s="156" t="s">
        <v>81</v>
      </c>
      <c r="B38" s="156"/>
      <c r="C38" s="156"/>
      <c r="D38" s="156">
        <v>560</v>
      </c>
      <c r="E38" s="157">
        <v>1869.32</v>
      </c>
      <c r="F38" s="156">
        <v>0</v>
      </c>
      <c r="G38" s="157">
        <v>4171.2</v>
      </c>
      <c r="H38" s="157">
        <v>2980.32</v>
      </c>
      <c r="I38" s="163">
        <f>2921.48+48.08</f>
        <v>2969.56</v>
      </c>
      <c r="J38" s="173">
        <f>2921.48</f>
        <v>2921.48</v>
      </c>
      <c r="K38" s="36">
        <v>1962.45</v>
      </c>
      <c r="L38" s="149">
        <v>600</v>
      </c>
      <c r="M38" s="36">
        <f>L38*1.2</f>
        <v>720</v>
      </c>
      <c r="N38" s="36">
        <f>M38*1.2</f>
        <v>864</v>
      </c>
      <c r="O38" s="36">
        <f>N38*1.3</f>
        <v>1123.2</v>
      </c>
      <c r="P38" s="36">
        <f>O38*1.3</f>
        <v>1460.16</v>
      </c>
      <c r="Q38" s="36">
        <f>P38*1.3</f>
        <v>1898.2080000000001</v>
      </c>
      <c r="R38" s="36">
        <f>Q38*1.3</f>
        <v>2467.6704</v>
      </c>
      <c r="S38" s="36">
        <f>R38*1.3</f>
        <v>3207.9715200000001</v>
      </c>
      <c r="T38" s="33">
        <f t="shared" ref="T38:T74" si="15">SUM(H38:S38)</f>
        <v>23175.019919999999</v>
      </c>
    </row>
    <row r="39" spans="1:20" s="25" customFormat="1" outlineLevel="1">
      <c r="A39" s="156" t="s">
        <v>82</v>
      </c>
      <c r="B39" s="156"/>
      <c r="C39" s="156"/>
      <c r="D39" s="156"/>
      <c r="E39" s="156">
        <v>273.95</v>
      </c>
      <c r="F39" s="156">
        <v>273.95</v>
      </c>
      <c r="G39" s="156">
        <v>954.34</v>
      </c>
      <c r="H39" s="157">
        <v>2135.7600000000002</v>
      </c>
      <c r="I39" s="165">
        <v>273.95</v>
      </c>
      <c r="J39" s="173">
        <v>273.95</v>
      </c>
      <c r="K39" s="36">
        <v>273.95</v>
      </c>
      <c r="L39" s="36">
        <v>273.95</v>
      </c>
      <c r="M39" s="36">
        <v>273.95</v>
      </c>
      <c r="N39" s="36"/>
      <c r="O39" s="36"/>
      <c r="P39" s="36"/>
      <c r="Q39" s="36"/>
      <c r="R39" s="36"/>
      <c r="S39" s="36"/>
      <c r="T39" s="33">
        <f t="shared" si="15"/>
        <v>3505.5099999999993</v>
      </c>
    </row>
    <row r="40" spans="1:20" s="155" customFormat="1" outlineLevel="1">
      <c r="A40" s="162" t="s">
        <v>83</v>
      </c>
      <c r="B40" s="162" t="s">
        <v>84</v>
      </c>
      <c r="C40" s="162" t="s">
        <v>84</v>
      </c>
      <c r="D40" s="162" t="s">
        <v>84</v>
      </c>
      <c r="E40" s="162" t="s">
        <v>84</v>
      </c>
      <c r="F40" s="162" t="s">
        <v>84</v>
      </c>
      <c r="G40" s="162" t="s">
        <v>84</v>
      </c>
      <c r="H40" s="162" t="s">
        <v>84</v>
      </c>
      <c r="I40" s="161">
        <f>383.33+283.42+287.59+633.52</f>
        <v>1587.86</v>
      </c>
      <c r="J40" s="153">
        <v>670.92</v>
      </c>
      <c r="K40" s="153">
        <v>670.92</v>
      </c>
      <c r="L40" s="153">
        <v>287.58999999999997</v>
      </c>
      <c r="M40" s="153"/>
      <c r="N40" s="153"/>
      <c r="O40" s="153"/>
      <c r="P40" s="153"/>
      <c r="Q40" s="153"/>
      <c r="R40" s="153"/>
      <c r="S40" s="153"/>
      <c r="T40" s="154">
        <f t="shared" si="15"/>
        <v>3217.29</v>
      </c>
    </row>
    <row r="41" spans="1:20" s="25" customFormat="1" outlineLevel="1">
      <c r="A41" s="156" t="s">
        <v>85</v>
      </c>
      <c r="B41" s="156"/>
      <c r="C41" s="156">
        <v>0</v>
      </c>
      <c r="D41" s="156">
        <v>0</v>
      </c>
      <c r="E41" s="156">
        <v>0</v>
      </c>
      <c r="F41" s="156">
        <v>0</v>
      </c>
      <c r="G41" s="157">
        <v>1037.8900000000001</v>
      </c>
      <c r="H41" s="156">
        <v>958.39</v>
      </c>
      <c r="I41" s="163">
        <f>390.9+1275.47</f>
        <v>1666.37</v>
      </c>
      <c r="J41" s="173">
        <f>541.02+653.09</f>
        <v>1194.1100000000001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3">
        <f t="shared" si="15"/>
        <v>3818.87</v>
      </c>
    </row>
    <row r="42" spans="1:20" s="25" customFormat="1" outlineLevel="1">
      <c r="A42" s="156" t="s">
        <v>86</v>
      </c>
      <c r="B42" s="156"/>
      <c r="C42" s="156">
        <v>175.07</v>
      </c>
      <c r="D42" s="156">
        <v>175.07</v>
      </c>
      <c r="E42" s="156">
        <v>217.24</v>
      </c>
      <c r="F42" s="156">
        <v>468.48</v>
      </c>
      <c r="G42" s="156"/>
      <c r="H42" s="156"/>
      <c r="I42" s="163">
        <v>468.48</v>
      </c>
      <c r="K42" s="36">
        <v>217.24</v>
      </c>
      <c r="L42" s="36">
        <v>217.24</v>
      </c>
      <c r="M42" s="36">
        <v>217.24</v>
      </c>
      <c r="N42" s="36">
        <v>217.24</v>
      </c>
      <c r="O42" s="36">
        <v>217.24</v>
      </c>
      <c r="P42" s="36">
        <v>217.24</v>
      </c>
      <c r="Q42" s="36">
        <v>217.24</v>
      </c>
      <c r="R42" s="36">
        <v>217.24</v>
      </c>
      <c r="S42" s="36">
        <v>217.24</v>
      </c>
      <c r="T42" s="33">
        <f t="shared" si="15"/>
        <v>2423.6400000000003</v>
      </c>
    </row>
    <row r="43" spans="1:20" s="25" customFormat="1" outlineLevel="1">
      <c r="A43" s="156" t="s">
        <v>87</v>
      </c>
      <c r="B43" s="156"/>
      <c r="C43" s="156">
        <v>265.26</v>
      </c>
      <c r="D43" s="156">
        <v>265.26</v>
      </c>
      <c r="E43" s="156">
        <v>636.86</v>
      </c>
      <c r="F43" s="156">
        <v>919</v>
      </c>
      <c r="G43" s="156"/>
      <c r="H43" s="156">
        <v>962.78</v>
      </c>
      <c r="I43" s="163">
        <v>1039.22</v>
      </c>
      <c r="J43" s="173">
        <v>1172.6600000000001</v>
      </c>
      <c r="K43" s="36">
        <v>919</v>
      </c>
      <c r="L43" s="36">
        <v>919</v>
      </c>
      <c r="M43" s="36">
        <v>919</v>
      </c>
      <c r="N43" s="36">
        <v>919</v>
      </c>
      <c r="O43" s="36">
        <v>919</v>
      </c>
      <c r="P43" s="36">
        <v>919</v>
      </c>
      <c r="Q43" s="36">
        <v>919</v>
      </c>
      <c r="R43" s="36">
        <v>919</v>
      </c>
      <c r="S43" s="36">
        <v>919</v>
      </c>
      <c r="T43" s="33">
        <f t="shared" si="15"/>
        <v>11445.66</v>
      </c>
    </row>
    <row r="44" spans="1:20" s="25" customFormat="1" outlineLevel="1">
      <c r="A44" s="156" t="s">
        <v>88</v>
      </c>
      <c r="B44" s="156"/>
      <c r="C44" s="156">
        <v>0</v>
      </c>
      <c r="D44" s="156">
        <v>0</v>
      </c>
      <c r="E44" s="156">
        <v>636.13</v>
      </c>
      <c r="F44" s="156">
        <v>187.45</v>
      </c>
      <c r="G44" s="156"/>
      <c r="H44" s="156">
        <v>209.05</v>
      </c>
      <c r="I44" s="164">
        <v>199.5</v>
      </c>
      <c r="J44" s="36">
        <v>194.25</v>
      </c>
      <c r="K44" s="36">
        <v>636.13</v>
      </c>
      <c r="L44" s="36">
        <v>636.13</v>
      </c>
      <c r="M44" s="36">
        <v>636.13</v>
      </c>
      <c r="N44" s="36">
        <v>636.13</v>
      </c>
      <c r="O44" s="36">
        <v>636.13</v>
      </c>
      <c r="P44" s="36">
        <v>636.13</v>
      </c>
      <c r="Q44" s="36">
        <v>636.13</v>
      </c>
      <c r="R44" s="36">
        <v>636.13</v>
      </c>
      <c r="S44" s="36">
        <v>636.13</v>
      </c>
      <c r="T44" s="33">
        <f t="shared" si="15"/>
        <v>6327.97</v>
      </c>
    </row>
    <row r="45" spans="1:20" s="25" customFormat="1" outlineLevel="1">
      <c r="A45" s="156" t="s">
        <v>89</v>
      </c>
      <c r="B45" s="156"/>
      <c r="C45" s="156">
        <v>0</v>
      </c>
      <c r="D45" s="156">
        <v>0</v>
      </c>
      <c r="E45" s="156">
        <v>280</v>
      </c>
      <c r="F45" s="156">
        <v>280</v>
      </c>
      <c r="G45" s="156">
        <v>280</v>
      </c>
      <c r="H45" s="156">
        <v>280</v>
      </c>
      <c r="I45" s="164">
        <f>118+162</f>
        <v>280</v>
      </c>
      <c r="J45" s="173">
        <f>118+162</f>
        <v>280</v>
      </c>
      <c r="K45" s="36">
        <v>280</v>
      </c>
      <c r="L45" s="36">
        <v>280</v>
      </c>
      <c r="M45" s="36">
        <v>280</v>
      </c>
      <c r="N45" s="36">
        <v>280</v>
      </c>
      <c r="O45" s="36">
        <v>280</v>
      </c>
      <c r="P45" s="36">
        <v>280</v>
      </c>
      <c r="Q45" s="36">
        <v>280</v>
      </c>
      <c r="R45" s="36">
        <v>280</v>
      </c>
      <c r="S45" s="36">
        <v>280</v>
      </c>
      <c r="T45" s="33">
        <f t="shared" si="15"/>
        <v>3360</v>
      </c>
    </row>
    <row r="46" spans="1:20" s="25" customFormat="1" outlineLevel="1">
      <c r="A46" s="156" t="s">
        <v>90</v>
      </c>
      <c r="B46" s="156"/>
      <c r="C46" s="156">
        <v>0</v>
      </c>
      <c r="D46" s="156">
        <v>0</v>
      </c>
      <c r="E46" s="156">
        <v>0</v>
      </c>
      <c r="F46" s="156">
        <v>0</v>
      </c>
      <c r="G46" s="156">
        <v>0</v>
      </c>
      <c r="H46" s="156">
        <v>297.89</v>
      </c>
      <c r="I46" s="164">
        <v>274.97000000000003</v>
      </c>
      <c r="J46" s="173">
        <v>268.75</v>
      </c>
      <c r="K46" s="36">
        <v>0</v>
      </c>
      <c r="L46" s="36">
        <v>900</v>
      </c>
      <c r="M46" s="36">
        <v>900</v>
      </c>
      <c r="N46" s="36">
        <v>900</v>
      </c>
      <c r="O46" s="36">
        <v>900</v>
      </c>
      <c r="P46" s="36">
        <v>900</v>
      </c>
      <c r="Q46" s="36">
        <v>900</v>
      </c>
      <c r="R46" s="36">
        <v>900</v>
      </c>
      <c r="S46" s="36">
        <v>900</v>
      </c>
      <c r="T46" s="33">
        <f t="shared" si="15"/>
        <v>8041.6100000000006</v>
      </c>
    </row>
    <row r="47" spans="1:20" s="25" customFormat="1" outlineLevel="1">
      <c r="A47" s="156" t="s">
        <v>91</v>
      </c>
      <c r="B47" s="156"/>
      <c r="C47" s="156">
        <v>0</v>
      </c>
      <c r="D47" s="156">
        <v>0</v>
      </c>
      <c r="E47" s="156">
        <v>0</v>
      </c>
      <c r="F47" s="157">
        <v>1054.8</v>
      </c>
      <c r="G47" s="156"/>
      <c r="H47" s="157">
        <v>4452.62</v>
      </c>
      <c r="I47" s="165">
        <v>564.6</v>
      </c>
      <c r="J47" s="173">
        <v>194.24</v>
      </c>
      <c r="K47" s="36"/>
      <c r="L47" s="36"/>
      <c r="M47" s="36"/>
      <c r="N47" s="36"/>
      <c r="O47" s="36"/>
      <c r="P47" s="36"/>
      <c r="Q47" s="36">
        <v>0</v>
      </c>
      <c r="R47" s="36">
        <v>0</v>
      </c>
      <c r="S47" s="36">
        <v>0</v>
      </c>
      <c r="T47" s="33">
        <f t="shared" si="15"/>
        <v>5211.46</v>
      </c>
    </row>
    <row r="48" spans="1:20" s="25" customFormat="1" outlineLevel="1">
      <c r="A48" s="156" t="s">
        <v>92</v>
      </c>
      <c r="B48" s="156"/>
      <c r="C48" s="156">
        <v>0</v>
      </c>
      <c r="D48" s="156">
        <v>0</v>
      </c>
      <c r="E48" s="157">
        <v>1499.91</v>
      </c>
      <c r="F48" s="157">
        <v>1202.3499999999999</v>
      </c>
      <c r="G48" s="157">
        <v>1203.77</v>
      </c>
      <c r="H48" s="157">
        <v>1208.42</v>
      </c>
      <c r="I48" s="163">
        <f>1167.33</f>
        <v>1167.33</v>
      </c>
      <c r="J48" s="173">
        <f>1165.19</f>
        <v>1165.19</v>
      </c>
      <c r="K48" s="149">
        <v>400</v>
      </c>
      <c r="L48" s="149">
        <f>K48*1.2</f>
        <v>480</v>
      </c>
      <c r="M48" s="36">
        <f>L48*1.2</f>
        <v>576</v>
      </c>
      <c r="N48" s="36">
        <f>M48*1.2</f>
        <v>691.19999999999993</v>
      </c>
      <c r="O48" s="36">
        <f>N48*1.3</f>
        <v>898.56</v>
      </c>
      <c r="P48" s="36">
        <f>O48*1.3</f>
        <v>1168.1279999999999</v>
      </c>
      <c r="Q48" s="36">
        <f>P48*1.3</f>
        <v>1518.5663999999999</v>
      </c>
      <c r="R48" s="36">
        <f>Q48*1.3</f>
        <v>1974.1363200000001</v>
      </c>
      <c r="S48" s="36">
        <f>R48*1.3</f>
        <v>2566.3772160000003</v>
      </c>
      <c r="T48" s="33">
        <f t="shared" si="15"/>
        <v>13813.907936000001</v>
      </c>
    </row>
    <row r="49" spans="1:20" s="25" customFormat="1" outlineLevel="1">
      <c r="A49" s="156" t="s">
        <v>93</v>
      </c>
      <c r="B49" s="156"/>
      <c r="C49" s="156">
        <v>0</v>
      </c>
      <c r="D49" s="156">
        <v>0</v>
      </c>
      <c r="E49" s="156">
        <v>34.9</v>
      </c>
      <c r="F49" s="156">
        <v>34.9</v>
      </c>
      <c r="G49" s="156">
        <v>34.9</v>
      </c>
      <c r="H49" s="156">
        <v>34.9</v>
      </c>
      <c r="I49" s="164">
        <v>34.9</v>
      </c>
      <c r="J49" s="36">
        <v>34.9</v>
      </c>
      <c r="K49" s="36">
        <v>34.9</v>
      </c>
      <c r="L49" s="36">
        <v>34.9</v>
      </c>
      <c r="M49" s="36">
        <v>34.9</v>
      </c>
      <c r="N49" s="36">
        <v>34.9</v>
      </c>
      <c r="O49" s="36">
        <v>34.9</v>
      </c>
      <c r="P49" s="36">
        <v>34.9</v>
      </c>
      <c r="Q49" s="36">
        <v>34.9</v>
      </c>
      <c r="R49" s="36">
        <v>34.9</v>
      </c>
      <c r="S49" s="36">
        <v>34.9</v>
      </c>
      <c r="T49" s="33">
        <f t="shared" si="15"/>
        <v>418.7999999999999</v>
      </c>
    </row>
    <row r="50" spans="1:20" s="25" customFormat="1" outlineLevel="1">
      <c r="A50" s="156" t="s">
        <v>94</v>
      </c>
      <c r="B50" s="156"/>
      <c r="C50" s="156"/>
      <c r="D50" s="156"/>
      <c r="E50" s="156"/>
      <c r="F50" s="156"/>
      <c r="G50" s="156"/>
      <c r="H50" s="156"/>
      <c r="I50" s="171"/>
      <c r="J50" s="173">
        <v>65.900000000000006</v>
      </c>
      <c r="L50" s="36"/>
      <c r="M50" s="36"/>
      <c r="N50" s="36"/>
      <c r="O50" s="36"/>
      <c r="P50" s="36"/>
      <c r="Q50" s="36"/>
      <c r="R50" s="36"/>
      <c r="S50" s="36"/>
      <c r="T50" s="33"/>
    </row>
    <row r="51" spans="1:20" s="25" customFormat="1" outlineLevel="1">
      <c r="A51" s="156" t="s">
        <v>95</v>
      </c>
      <c r="B51" s="156"/>
      <c r="C51" s="156">
        <v>0</v>
      </c>
      <c r="D51" s="156">
        <v>0</v>
      </c>
      <c r="E51" s="156">
        <v>343.72</v>
      </c>
      <c r="F51" s="156">
        <v>345.77</v>
      </c>
      <c r="G51" s="156">
        <v>337.74</v>
      </c>
      <c r="H51" s="156">
        <v>350.3</v>
      </c>
      <c r="I51" s="164">
        <v>329.55</v>
      </c>
      <c r="J51" s="173">
        <v>319.2</v>
      </c>
      <c r="K51" s="36">
        <v>343.32</v>
      </c>
      <c r="L51" s="36">
        <v>343.32</v>
      </c>
      <c r="M51" s="36">
        <v>343.32</v>
      </c>
      <c r="N51" s="36">
        <v>343.32</v>
      </c>
      <c r="O51" s="36">
        <v>343.32</v>
      </c>
      <c r="P51" s="36">
        <v>343.32</v>
      </c>
      <c r="Q51" s="36">
        <v>343.32</v>
      </c>
      <c r="R51" s="36">
        <v>343.32</v>
      </c>
      <c r="S51" s="36">
        <v>343.32</v>
      </c>
      <c r="T51" s="33">
        <f t="shared" si="15"/>
        <v>4088.9300000000007</v>
      </c>
    </row>
    <row r="52" spans="1:20" s="25" customFormat="1" outlineLevel="1">
      <c r="A52" s="156" t="s">
        <v>96</v>
      </c>
      <c r="B52" s="156"/>
      <c r="C52" s="156">
        <v>0</v>
      </c>
      <c r="D52" s="156">
        <v>0</v>
      </c>
      <c r="E52" s="156">
        <v>143.59</v>
      </c>
      <c r="F52" s="156"/>
      <c r="G52" s="156"/>
      <c r="H52" s="156"/>
      <c r="I52" s="15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3">
        <f t="shared" si="15"/>
        <v>0</v>
      </c>
    </row>
    <row r="53" spans="1:20" s="25" customFormat="1" outlineLevel="1">
      <c r="A53" s="156" t="s">
        <v>97</v>
      </c>
      <c r="B53" s="156"/>
      <c r="C53" s="156">
        <v>0</v>
      </c>
      <c r="D53" s="156">
        <v>0</v>
      </c>
      <c r="E53" s="157">
        <v>1005.42</v>
      </c>
      <c r="F53" s="156">
        <v>144.13999999999999</v>
      </c>
      <c r="G53" s="156">
        <v>429.91</v>
      </c>
      <c r="H53" s="156">
        <v>289.98</v>
      </c>
      <c r="I53" s="164">
        <f>168.35</f>
        <v>168.35</v>
      </c>
      <c r="J53" s="173">
        <f>84.83+84.83+85+166.98</f>
        <v>421.64</v>
      </c>
      <c r="K53" s="36">
        <v>180</v>
      </c>
      <c r="L53" s="36">
        <v>180</v>
      </c>
      <c r="M53" s="36">
        <v>180</v>
      </c>
      <c r="N53" s="36">
        <v>180</v>
      </c>
      <c r="O53" s="36">
        <v>180</v>
      </c>
      <c r="P53" s="36">
        <v>180</v>
      </c>
      <c r="Q53" s="36">
        <v>180</v>
      </c>
      <c r="R53" s="36">
        <v>180</v>
      </c>
      <c r="S53" s="36">
        <v>180</v>
      </c>
      <c r="T53" s="33">
        <f t="shared" si="15"/>
        <v>2499.9700000000003</v>
      </c>
    </row>
    <row r="54" spans="1:20" s="25" customFormat="1" outlineLevel="1">
      <c r="A54" s="156" t="s">
        <v>98</v>
      </c>
      <c r="B54" s="156"/>
      <c r="C54" s="156">
        <v>0</v>
      </c>
      <c r="D54" s="156">
        <v>145.61000000000001</v>
      </c>
      <c r="E54" s="156">
        <v>253.64</v>
      </c>
      <c r="F54" s="156">
        <v>269.55</v>
      </c>
      <c r="G54" s="156">
        <v>260.79000000000002</v>
      </c>
      <c r="H54" s="156">
        <v>262.08</v>
      </c>
      <c r="I54" s="164">
        <v>247.47</v>
      </c>
      <c r="J54" s="173">
        <f>53.5</f>
        <v>53.5</v>
      </c>
      <c r="K54" s="36">
        <v>145.61000000000001</v>
      </c>
      <c r="L54" s="36">
        <v>145.61000000000001</v>
      </c>
      <c r="M54" s="36">
        <v>145.61000000000001</v>
      </c>
      <c r="N54" s="36">
        <v>145.61000000000001</v>
      </c>
      <c r="O54" s="36">
        <v>145.61000000000001</v>
      </c>
      <c r="P54" s="36">
        <v>145.61000000000001</v>
      </c>
      <c r="Q54" s="36">
        <v>145.61000000000001</v>
      </c>
      <c r="R54" s="36">
        <v>145.61000000000001</v>
      </c>
      <c r="S54" s="36">
        <v>145.61000000000001</v>
      </c>
      <c r="T54" s="33">
        <f t="shared" si="15"/>
        <v>1873.5400000000004</v>
      </c>
    </row>
    <row r="55" spans="1:20" s="25" customFormat="1" outlineLevel="1">
      <c r="A55" s="156" t="s">
        <v>99</v>
      </c>
      <c r="B55" s="156"/>
      <c r="C55" s="156">
        <v>0</v>
      </c>
      <c r="D55" s="156">
        <v>0</v>
      </c>
      <c r="E55" s="156">
        <v>808.88</v>
      </c>
      <c r="F55" s="156">
        <v>820.48</v>
      </c>
      <c r="G55" s="156">
        <v>796.95</v>
      </c>
      <c r="H55" s="157">
        <v>1009.76</v>
      </c>
      <c r="I55" s="164">
        <f>839.12+111.82</f>
        <v>950.94</v>
      </c>
      <c r="J55" s="173">
        <f>977.66+107.48</f>
        <v>1085.1399999999999</v>
      </c>
      <c r="K55" s="36">
        <v>807.95</v>
      </c>
      <c r="L55" s="36">
        <v>807.95</v>
      </c>
      <c r="M55" s="36">
        <v>807.95</v>
      </c>
      <c r="N55" s="36">
        <v>807.95</v>
      </c>
      <c r="O55" s="36">
        <v>807.95</v>
      </c>
      <c r="P55" s="36">
        <v>807.95</v>
      </c>
      <c r="Q55" s="36">
        <v>807.95</v>
      </c>
      <c r="R55" s="36">
        <v>807.95</v>
      </c>
      <c r="S55" s="36">
        <v>807.95</v>
      </c>
      <c r="T55" s="33">
        <f t="shared" si="15"/>
        <v>10317.390000000001</v>
      </c>
    </row>
    <row r="56" spans="1:20" s="25" customFormat="1" outlineLevel="1">
      <c r="A56" s="156" t="s">
        <v>100</v>
      </c>
      <c r="B56" s="156"/>
      <c r="C56" s="156">
        <v>0</v>
      </c>
      <c r="D56" s="156">
        <v>0</v>
      </c>
      <c r="E56" s="156">
        <v>69</v>
      </c>
      <c r="F56" s="156">
        <v>69</v>
      </c>
      <c r="G56" s="156">
        <v>120.3</v>
      </c>
      <c r="H56" s="156">
        <v>69</v>
      </c>
      <c r="I56" s="164">
        <v>69</v>
      </c>
      <c r="J56" s="173">
        <v>69</v>
      </c>
      <c r="K56" s="36">
        <v>69</v>
      </c>
      <c r="L56" s="36">
        <v>69</v>
      </c>
      <c r="M56" s="36">
        <v>69</v>
      </c>
      <c r="N56" s="36">
        <v>69</v>
      </c>
      <c r="O56" s="36">
        <v>69</v>
      </c>
      <c r="P56" s="36">
        <v>69</v>
      </c>
      <c r="Q56" s="36">
        <v>69</v>
      </c>
      <c r="R56" s="36">
        <v>69</v>
      </c>
      <c r="S56" s="36">
        <v>69</v>
      </c>
      <c r="T56" s="33">
        <f t="shared" si="15"/>
        <v>828</v>
      </c>
    </row>
    <row r="57" spans="1:20" s="25" customFormat="1" outlineLevel="1">
      <c r="A57" s="156" t="s">
        <v>101</v>
      </c>
      <c r="B57" s="156"/>
      <c r="C57" s="156"/>
      <c r="D57" s="156"/>
      <c r="E57" s="156"/>
      <c r="F57" s="156">
        <v>122.17</v>
      </c>
      <c r="G57" s="156"/>
      <c r="H57" s="156">
        <v>91.07</v>
      </c>
      <c r="I57" s="156"/>
      <c r="J57" s="173">
        <v>100.08</v>
      </c>
      <c r="K57" s="36"/>
      <c r="L57" s="36"/>
      <c r="M57" s="36"/>
      <c r="N57" s="36"/>
      <c r="O57" s="36"/>
      <c r="P57" s="36"/>
      <c r="Q57" s="36"/>
      <c r="R57" s="36"/>
      <c r="S57" s="36"/>
      <c r="T57" s="33">
        <f t="shared" si="15"/>
        <v>191.14999999999998</v>
      </c>
    </row>
    <row r="58" spans="1:20" s="25" customFormat="1" outlineLevel="1">
      <c r="A58" s="156" t="s">
        <v>102</v>
      </c>
      <c r="B58" s="156"/>
      <c r="C58" s="156"/>
      <c r="D58" s="156"/>
      <c r="E58" s="156">
        <v>0</v>
      </c>
      <c r="F58" s="156">
        <v>190.63</v>
      </c>
      <c r="G58" s="156"/>
      <c r="H58" s="156">
        <v>381.26</v>
      </c>
      <c r="I58" s="15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3">
        <f t="shared" si="15"/>
        <v>381.26</v>
      </c>
    </row>
    <row r="59" spans="1:20" s="25" customFormat="1" outlineLevel="1">
      <c r="A59" s="156" t="s">
        <v>103</v>
      </c>
      <c r="B59" s="156"/>
      <c r="C59" s="156"/>
      <c r="D59" s="156"/>
      <c r="E59" s="156">
        <v>0</v>
      </c>
      <c r="F59" s="157">
        <v>1352.91</v>
      </c>
      <c r="G59" s="156"/>
      <c r="H59" s="156">
        <v>296.12</v>
      </c>
      <c r="I59" s="165">
        <v>294.51</v>
      </c>
      <c r="J59" s="173">
        <v>296.92</v>
      </c>
      <c r="K59" s="36"/>
      <c r="L59" s="36"/>
      <c r="M59" s="36"/>
      <c r="N59" s="36"/>
      <c r="O59" s="36"/>
      <c r="P59" s="36"/>
      <c r="Q59" s="36"/>
      <c r="R59" s="36">
        <v>1704</v>
      </c>
      <c r="S59" s="36"/>
      <c r="T59" s="33">
        <f t="shared" si="15"/>
        <v>2591.5500000000002</v>
      </c>
    </row>
    <row r="60" spans="1:20" s="25" customFormat="1" outlineLevel="1">
      <c r="A60" s="156" t="s">
        <v>104</v>
      </c>
      <c r="B60" s="156"/>
      <c r="C60" s="156"/>
      <c r="D60" s="156"/>
      <c r="E60" s="156">
        <v>0</v>
      </c>
      <c r="F60" s="156">
        <v>0</v>
      </c>
      <c r="G60" s="156">
        <v>0</v>
      </c>
      <c r="H60" s="156">
        <v>0</v>
      </c>
      <c r="I60" s="156">
        <v>0</v>
      </c>
      <c r="J60" s="36">
        <v>0</v>
      </c>
      <c r="K60" s="36">
        <v>0</v>
      </c>
      <c r="L60" s="36">
        <v>0</v>
      </c>
      <c r="M60" s="36">
        <v>8000</v>
      </c>
      <c r="N60" s="36">
        <v>8400</v>
      </c>
      <c r="O60" s="36">
        <v>8820</v>
      </c>
      <c r="P60" s="36">
        <v>9261</v>
      </c>
      <c r="Q60" s="36">
        <v>9724.0500000000011</v>
      </c>
      <c r="R60" s="36">
        <v>10210.252500000002</v>
      </c>
      <c r="S60" s="36">
        <v>10720.765125000004</v>
      </c>
      <c r="T60" s="33">
        <f t="shared" si="15"/>
        <v>65136.067625000011</v>
      </c>
    </row>
    <row r="61" spans="1:20" s="25" customFormat="1" outlineLevel="1">
      <c r="A61" s="156" t="s">
        <v>105</v>
      </c>
      <c r="B61" s="156"/>
      <c r="C61" s="156"/>
      <c r="D61" s="156"/>
      <c r="E61" s="156">
        <v>28.63</v>
      </c>
      <c r="F61" s="156">
        <v>29.31</v>
      </c>
      <c r="G61" s="156">
        <v>28.5</v>
      </c>
      <c r="H61" s="156">
        <v>29.78</v>
      </c>
      <c r="I61" s="164">
        <v>29</v>
      </c>
      <c r="J61" s="173">
        <v>30</v>
      </c>
      <c r="K61" s="36">
        <v>30</v>
      </c>
      <c r="L61" s="36">
        <v>30</v>
      </c>
      <c r="M61" s="36"/>
      <c r="N61" s="36"/>
      <c r="O61" s="36"/>
      <c r="P61" s="36"/>
      <c r="Q61" s="36"/>
      <c r="R61" s="36"/>
      <c r="S61" s="36"/>
      <c r="T61" s="33">
        <f t="shared" si="15"/>
        <v>148.78</v>
      </c>
    </row>
    <row r="62" spans="1:20" s="25" customFormat="1" outlineLevel="1">
      <c r="A62" s="156" t="s">
        <v>106</v>
      </c>
      <c r="B62" s="156"/>
      <c r="C62" s="156"/>
      <c r="D62" s="156"/>
      <c r="E62" s="156"/>
      <c r="F62" s="156"/>
      <c r="G62" s="156"/>
      <c r="H62" s="156"/>
      <c r="I62" s="168">
        <v>167.4</v>
      </c>
      <c r="J62">
        <v>167.4</v>
      </c>
      <c r="K62">
        <v>167.4</v>
      </c>
      <c r="L62">
        <v>167.4</v>
      </c>
      <c r="M62">
        <v>167.4</v>
      </c>
      <c r="N62">
        <v>167.4</v>
      </c>
      <c r="O62">
        <v>167.4</v>
      </c>
      <c r="P62">
        <v>167.4</v>
      </c>
      <c r="Q62">
        <v>167.4</v>
      </c>
      <c r="R62">
        <v>167.4</v>
      </c>
      <c r="S62">
        <v>167.4</v>
      </c>
      <c r="T62" s="33">
        <f t="shared" si="15"/>
        <v>1841.4000000000003</v>
      </c>
    </row>
    <row r="63" spans="1:20" s="25" customFormat="1" outlineLevel="1">
      <c r="A63" s="156" t="s">
        <v>107</v>
      </c>
      <c r="B63" s="156"/>
      <c r="C63" s="156"/>
      <c r="D63" s="156"/>
      <c r="E63" s="156"/>
      <c r="F63" s="156"/>
      <c r="G63" s="156"/>
      <c r="H63" s="156"/>
      <c r="I63" s="169">
        <v>1126.3800000000001</v>
      </c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3">
        <f t="shared" si="15"/>
        <v>1126.3800000000001</v>
      </c>
    </row>
    <row r="64" spans="1:20" s="25" customFormat="1" outlineLevel="1">
      <c r="A64" s="156" t="s">
        <v>108</v>
      </c>
      <c r="B64" s="156"/>
      <c r="C64" s="156"/>
      <c r="D64" s="156"/>
      <c r="E64" s="156"/>
      <c r="F64" s="156"/>
      <c r="G64" s="156"/>
      <c r="H64" s="156">
        <v>397</v>
      </c>
      <c r="I64" s="164">
        <v>397</v>
      </c>
      <c r="J64" s="156">
        <v>397</v>
      </c>
      <c r="K64" s="156">
        <v>397</v>
      </c>
      <c r="L64" s="156">
        <v>397</v>
      </c>
      <c r="M64" s="156">
        <v>397</v>
      </c>
      <c r="N64" s="156">
        <v>397</v>
      </c>
      <c r="O64" s="156">
        <v>397</v>
      </c>
      <c r="P64" s="156">
        <v>397</v>
      </c>
      <c r="Q64" s="156">
        <v>397</v>
      </c>
      <c r="R64" s="156">
        <v>397</v>
      </c>
      <c r="S64" s="156">
        <v>397</v>
      </c>
      <c r="T64" s="33">
        <f t="shared" si="15"/>
        <v>4764</v>
      </c>
    </row>
    <row r="65" spans="1:20" s="25" customFormat="1" outlineLevel="1">
      <c r="A65" s="156" t="s">
        <v>109</v>
      </c>
      <c r="B65" s="156"/>
      <c r="C65" s="156"/>
      <c r="D65" s="156"/>
      <c r="E65" s="156"/>
      <c r="F65" s="156"/>
      <c r="G65" s="156"/>
      <c r="H65" s="156">
        <v>289.10000000000002</v>
      </c>
      <c r="I65" s="165">
        <v>271.95</v>
      </c>
      <c r="J65" s="173">
        <v>268.52</v>
      </c>
      <c r="K65" s="36"/>
      <c r="L65" s="36"/>
      <c r="M65" s="36"/>
      <c r="N65" s="36"/>
      <c r="O65" s="36"/>
      <c r="P65" s="36"/>
      <c r="Q65" s="36"/>
      <c r="R65" s="36"/>
      <c r="S65" s="36"/>
      <c r="T65" s="33">
        <f t="shared" si="15"/>
        <v>829.56999999999994</v>
      </c>
    </row>
    <row r="66" spans="1:20" s="25" customFormat="1" outlineLevel="1">
      <c r="A66" s="156" t="s">
        <v>110</v>
      </c>
      <c r="B66" s="156"/>
      <c r="C66" s="156"/>
      <c r="D66" s="156"/>
      <c r="E66" s="156"/>
      <c r="F66" s="156"/>
      <c r="G66" s="156"/>
      <c r="H66" s="156">
        <v>126.59</v>
      </c>
      <c r="I66" s="15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3">
        <f t="shared" si="15"/>
        <v>126.59</v>
      </c>
    </row>
    <row r="67" spans="1:20" s="25" customFormat="1" outlineLevel="1">
      <c r="A67" s="156" t="s">
        <v>111</v>
      </c>
      <c r="B67" s="156"/>
      <c r="C67" s="156"/>
      <c r="D67" s="156"/>
      <c r="E67" s="156">
        <v>591.53</v>
      </c>
      <c r="F67" s="156">
        <v>590.76</v>
      </c>
      <c r="G67" s="156">
        <v>593.41</v>
      </c>
      <c r="H67" s="156">
        <v>592.21</v>
      </c>
      <c r="I67" s="164">
        <f>571.24+20.81</f>
        <v>592.04999999999995</v>
      </c>
      <c r="J67" s="173">
        <f>569.8+26.85+635.59</f>
        <v>1232.24</v>
      </c>
      <c r="K67" s="36">
        <v>1000</v>
      </c>
      <c r="L67" s="36">
        <v>1000</v>
      </c>
      <c r="M67" s="36"/>
      <c r="N67" s="36"/>
      <c r="O67" s="36"/>
      <c r="P67" s="36"/>
      <c r="Q67" s="36"/>
      <c r="R67" s="36"/>
      <c r="S67" s="36"/>
      <c r="T67" s="33">
        <f t="shared" si="15"/>
        <v>4416.5</v>
      </c>
    </row>
    <row r="68" spans="1:20" s="23" customFormat="1">
      <c r="A68" s="22" t="s">
        <v>112</v>
      </c>
      <c r="B68" s="35">
        <f>SUM(B69:B75)</f>
        <v>0</v>
      </c>
      <c r="C68" s="35">
        <f t="shared" ref="C68:S68" si="16">SUM(C69:C75)</f>
        <v>3197</v>
      </c>
      <c r="D68" s="35">
        <f t="shared" si="16"/>
        <v>3800.87</v>
      </c>
      <c r="E68" s="35">
        <f t="shared" si="16"/>
        <v>16151.28</v>
      </c>
      <c r="F68" s="35">
        <f t="shared" si="16"/>
        <v>22223.4</v>
      </c>
      <c r="G68" s="35">
        <f t="shared" si="16"/>
        <v>22159</v>
      </c>
      <c r="H68" s="35">
        <f t="shared" si="16"/>
        <v>16412</v>
      </c>
      <c r="I68" s="35">
        <f>SUM(I69:I75)</f>
        <v>16815</v>
      </c>
      <c r="J68" s="35">
        <f t="shared" si="16"/>
        <v>7715</v>
      </c>
      <c r="K68" s="35">
        <f t="shared" si="16"/>
        <v>7715</v>
      </c>
      <c r="L68" s="35">
        <f t="shared" si="16"/>
        <v>7715</v>
      </c>
      <c r="M68" s="35">
        <f t="shared" si="16"/>
        <v>7715</v>
      </c>
      <c r="N68" s="35">
        <f t="shared" si="16"/>
        <v>17715</v>
      </c>
      <c r="O68" s="35">
        <f t="shared" si="16"/>
        <v>17715</v>
      </c>
      <c r="P68" s="35">
        <f t="shared" si="16"/>
        <v>17715</v>
      </c>
      <c r="Q68" s="35">
        <f t="shared" si="16"/>
        <v>17715</v>
      </c>
      <c r="R68" s="35">
        <f t="shared" si="16"/>
        <v>17715</v>
      </c>
      <c r="S68" s="35">
        <f t="shared" si="16"/>
        <v>17715</v>
      </c>
      <c r="T68" s="35">
        <f t="shared" si="15"/>
        <v>170377</v>
      </c>
    </row>
    <row r="69" spans="1:20" s="25" customFormat="1" outlineLevel="1">
      <c r="A69" s="156" t="s">
        <v>113</v>
      </c>
      <c r="B69" s="156"/>
      <c r="C69" s="156"/>
      <c r="D69" s="156"/>
      <c r="E69" s="157">
        <v>5700</v>
      </c>
      <c r="F69" s="157">
        <v>7125</v>
      </c>
      <c r="G69" s="157">
        <v>7125</v>
      </c>
      <c r="H69" s="157">
        <v>7125</v>
      </c>
      <c r="I69" s="163">
        <v>7125</v>
      </c>
      <c r="J69" s="173">
        <v>7125</v>
      </c>
      <c r="K69" s="36">
        <v>7125</v>
      </c>
      <c r="L69" s="36">
        <v>7125</v>
      </c>
      <c r="M69" s="36">
        <v>7125</v>
      </c>
      <c r="N69" s="36">
        <v>7125</v>
      </c>
      <c r="O69" s="36">
        <v>7125</v>
      </c>
      <c r="P69" s="36">
        <v>7125</v>
      </c>
      <c r="Q69" s="36">
        <v>7125</v>
      </c>
      <c r="R69" s="36">
        <v>7125</v>
      </c>
      <c r="S69" s="36">
        <v>7125</v>
      </c>
      <c r="T69" s="33">
        <f t="shared" si="15"/>
        <v>85500</v>
      </c>
    </row>
    <row r="70" spans="1:20" s="25" customFormat="1" outlineLevel="1">
      <c r="A70" s="156" t="s">
        <v>114</v>
      </c>
      <c r="B70" s="156"/>
      <c r="C70" s="156"/>
      <c r="D70" s="156">
        <v>603.87</v>
      </c>
      <c r="E70" s="156">
        <v>587</v>
      </c>
      <c r="F70" s="156">
        <v>835</v>
      </c>
      <c r="G70" s="156">
        <v>587</v>
      </c>
      <c r="H70" s="156">
        <v>587</v>
      </c>
      <c r="I70" s="164">
        <v>590</v>
      </c>
      <c r="J70" s="175">
        <v>590</v>
      </c>
      <c r="K70" s="156">
        <v>590</v>
      </c>
      <c r="L70" s="156">
        <v>590</v>
      </c>
      <c r="M70" s="156">
        <v>590</v>
      </c>
      <c r="N70" s="156">
        <v>590</v>
      </c>
      <c r="O70" s="156">
        <v>590</v>
      </c>
      <c r="P70" s="156">
        <v>590</v>
      </c>
      <c r="Q70" s="156">
        <v>590</v>
      </c>
      <c r="R70" s="156">
        <v>590</v>
      </c>
      <c r="S70" s="156">
        <v>590</v>
      </c>
      <c r="T70" s="33">
        <f t="shared" si="15"/>
        <v>7077</v>
      </c>
    </row>
    <row r="71" spans="1:20" s="25" customFormat="1" outlineLevel="1">
      <c r="A71" s="156" t="s">
        <v>115</v>
      </c>
      <c r="B71" s="156"/>
      <c r="C71" s="156"/>
      <c r="D71" s="156"/>
      <c r="E71" s="157">
        <v>4000</v>
      </c>
      <c r="F71" s="157">
        <v>4000</v>
      </c>
      <c r="G71" s="157">
        <v>4000</v>
      </c>
      <c r="H71" s="157">
        <v>4000</v>
      </c>
      <c r="I71" s="163">
        <v>4000</v>
      </c>
      <c r="J71" s="149"/>
      <c r="K71" s="149"/>
      <c r="L71" s="149"/>
      <c r="M71" s="149"/>
      <c r="N71" s="36">
        <v>4000</v>
      </c>
      <c r="O71" s="36">
        <v>4000</v>
      </c>
      <c r="P71" s="36">
        <v>4000</v>
      </c>
      <c r="Q71" s="36">
        <v>4000</v>
      </c>
      <c r="R71" s="36">
        <v>4000</v>
      </c>
      <c r="S71" s="36">
        <v>4000</v>
      </c>
      <c r="T71" s="33">
        <f t="shared" si="15"/>
        <v>32000</v>
      </c>
    </row>
    <row r="72" spans="1:20" s="25" customFormat="1" outlineLevel="1">
      <c r="A72" s="156" t="s">
        <v>116</v>
      </c>
      <c r="B72" s="156"/>
      <c r="C72" s="157">
        <v>3197</v>
      </c>
      <c r="D72" s="157">
        <v>3197</v>
      </c>
      <c r="E72" s="157">
        <v>3197</v>
      </c>
      <c r="F72" s="157">
        <v>4797</v>
      </c>
      <c r="G72" s="157">
        <v>4797</v>
      </c>
      <c r="H72" s="156"/>
      <c r="I72" s="15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3">
        <f t="shared" si="15"/>
        <v>0</v>
      </c>
    </row>
    <row r="73" spans="1:20" s="25" customFormat="1" outlineLevel="1">
      <c r="A73" s="156" t="s">
        <v>117</v>
      </c>
      <c r="B73" s="156"/>
      <c r="C73" s="156"/>
      <c r="D73" s="156"/>
      <c r="E73" s="156"/>
      <c r="F73" s="157">
        <v>5466.4</v>
      </c>
      <c r="G73" s="157">
        <v>4100</v>
      </c>
      <c r="H73" s="157">
        <v>4100</v>
      </c>
      <c r="I73" s="163">
        <v>4100</v>
      </c>
      <c r="J73" s="149"/>
      <c r="K73" s="149"/>
      <c r="L73" s="149"/>
      <c r="M73" s="149"/>
      <c r="N73" s="36">
        <v>4100</v>
      </c>
      <c r="O73" s="36">
        <v>4100</v>
      </c>
      <c r="P73" s="36">
        <v>4100</v>
      </c>
      <c r="Q73" s="36">
        <v>4100</v>
      </c>
      <c r="R73" s="36">
        <v>4100</v>
      </c>
      <c r="S73" s="36">
        <v>4100</v>
      </c>
      <c r="T73" s="33">
        <f t="shared" si="15"/>
        <v>32800</v>
      </c>
    </row>
    <row r="74" spans="1:20" s="25" customFormat="1" outlineLevel="1">
      <c r="A74" s="156" t="s">
        <v>118</v>
      </c>
      <c r="B74" s="156"/>
      <c r="C74" s="156"/>
      <c r="D74" s="156"/>
      <c r="E74" s="157">
        <v>2667.28</v>
      </c>
      <c r="F74" s="156"/>
      <c r="G74" s="156"/>
      <c r="H74" s="156"/>
      <c r="I74" s="156"/>
      <c r="J74" s="36"/>
      <c r="K74" s="36"/>
      <c r="L74" s="36"/>
      <c r="M74" s="36"/>
      <c r="N74" s="36">
        <v>1900</v>
      </c>
      <c r="O74" s="36">
        <v>1900</v>
      </c>
      <c r="P74" s="36">
        <v>1900</v>
      </c>
      <c r="Q74" s="36">
        <v>1900</v>
      </c>
      <c r="R74" s="36">
        <v>1900</v>
      </c>
      <c r="S74" s="36">
        <v>1900</v>
      </c>
      <c r="T74" s="33">
        <f t="shared" si="15"/>
        <v>11400</v>
      </c>
    </row>
    <row r="75" spans="1:20" s="25" customFormat="1" outlineLevel="1">
      <c r="A75" s="156" t="s">
        <v>119</v>
      </c>
      <c r="B75" s="156"/>
      <c r="C75" s="156"/>
      <c r="D75" s="156"/>
      <c r="E75" s="156"/>
      <c r="F75" s="156"/>
      <c r="G75" s="157">
        <v>1550</v>
      </c>
      <c r="H75" s="156">
        <v>600</v>
      </c>
      <c r="I75" s="163">
        <v>1000</v>
      </c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3">
        <f t="shared" ref="T75:T106" si="17">SUM(H75:S75)</f>
        <v>1600</v>
      </c>
    </row>
    <row r="76" spans="1:20" s="3" customFormat="1">
      <c r="A76" s="21" t="s">
        <v>120</v>
      </c>
      <c r="B76" s="34">
        <f>(B77+B84)</f>
        <v>0</v>
      </c>
      <c r="C76" s="34">
        <f t="shared" ref="C76:S76" si="18">(C77+C84)</f>
        <v>0</v>
      </c>
      <c r="D76" s="34">
        <f t="shared" si="18"/>
        <v>0</v>
      </c>
      <c r="E76" s="34">
        <f t="shared" si="18"/>
        <v>0</v>
      </c>
      <c r="F76" s="34">
        <f t="shared" si="18"/>
        <v>0</v>
      </c>
      <c r="G76" s="34">
        <f t="shared" si="18"/>
        <v>0</v>
      </c>
      <c r="H76" s="34">
        <f t="shared" si="18"/>
        <v>0</v>
      </c>
      <c r="I76" s="34">
        <f t="shared" si="18"/>
        <v>0</v>
      </c>
      <c r="J76" s="34">
        <f t="shared" si="18"/>
        <v>3300</v>
      </c>
      <c r="K76" s="34">
        <f t="shared" si="18"/>
        <v>3300</v>
      </c>
      <c r="L76" s="34">
        <f t="shared" si="18"/>
        <v>7826.4</v>
      </c>
      <c r="M76" s="34">
        <f t="shared" si="18"/>
        <v>15052.8</v>
      </c>
      <c r="N76" s="34">
        <f t="shared" si="18"/>
        <v>23042.400000000001</v>
      </c>
      <c r="O76" s="34">
        <f t="shared" si="18"/>
        <v>31272.000000000004</v>
      </c>
      <c r="P76" s="34">
        <f t="shared" si="18"/>
        <v>39789.600000000006</v>
      </c>
      <c r="Q76" s="34">
        <f t="shared" si="18"/>
        <v>48879.12</v>
      </c>
      <c r="R76" s="34">
        <f t="shared" si="18"/>
        <v>53128.209600000002</v>
      </c>
      <c r="S76" s="34">
        <f t="shared" si="18"/>
        <v>57874.963200000013</v>
      </c>
      <c r="T76" s="34">
        <f t="shared" si="17"/>
        <v>283465.49280000001</v>
      </c>
    </row>
    <row r="77" spans="1:20" s="23" customFormat="1">
      <c r="A77" s="22" t="s">
        <v>121</v>
      </c>
      <c r="B77" s="35">
        <f>SUM(B78:B83)</f>
        <v>0</v>
      </c>
      <c r="C77" s="35">
        <f t="shared" ref="C77:S77" si="19">SUM(C78:C83)</f>
        <v>0</v>
      </c>
      <c r="D77" s="35">
        <f t="shared" si="19"/>
        <v>0</v>
      </c>
      <c r="E77" s="35">
        <f t="shared" si="19"/>
        <v>0</v>
      </c>
      <c r="F77" s="35">
        <f t="shared" si="19"/>
        <v>0</v>
      </c>
      <c r="G77" s="35">
        <f t="shared" si="19"/>
        <v>0</v>
      </c>
      <c r="H77" s="35">
        <f t="shared" si="19"/>
        <v>0</v>
      </c>
      <c r="I77" s="35">
        <f t="shared" si="19"/>
        <v>0</v>
      </c>
      <c r="J77" s="35">
        <f>SUM(J78:J83)</f>
        <v>0</v>
      </c>
      <c r="K77" s="35">
        <f t="shared" si="19"/>
        <v>0</v>
      </c>
      <c r="L77" s="35">
        <f t="shared" si="19"/>
        <v>4526.3999999999996</v>
      </c>
      <c r="M77" s="35">
        <f t="shared" si="19"/>
        <v>9052.7999999999993</v>
      </c>
      <c r="N77" s="35">
        <f t="shared" si="19"/>
        <v>15842.4</v>
      </c>
      <c r="O77" s="35">
        <f t="shared" si="19"/>
        <v>22632.000000000004</v>
      </c>
      <c r="P77" s="35">
        <f t="shared" si="19"/>
        <v>29421.600000000006</v>
      </c>
      <c r="Q77" s="35">
        <f t="shared" si="19"/>
        <v>36437.520000000004</v>
      </c>
      <c r="R77" s="35">
        <f t="shared" si="19"/>
        <v>38198.289600000004</v>
      </c>
      <c r="S77" s="35">
        <f t="shared" si="19"/>
        <v>39959.059200000011</v>
      </c>
      <c r="T77" s="35">
        <f t="shared" si="17"/>
        <v>196070.06880000004</v>
      </c>
    </row>
    <row r="78" spans="1:20" s="25" customFormat="1" outlineLevel="1">
      <c r="A78" s="24" t="s">
        <v>122</v>
      </c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3">
        <f t="shared" si="17"/>
        <v>0</v>
      </c>
    </row>
    <row r="79" spans="1:20" s="25" customFormat="1" outlineLevel="1">
      <c r="A79" s="24" t="s">
        <v>123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3">
        <f t="shared" si="17"/>
        <v>0</v>
      </c>
    </row>
    <row r="80" spans="1:20" s="25" customFormat="1" outlineLevel="1">
      <c r="A80" s="24" t="s">
        <v>124</v>
      </c>
      <c r="B80" s="36"/>
      <c r="C80" s="36"/>
      <c r="D80" s="36"/>
      <c r="E80" s="36"/>
      <c r="F80" s="36"/>
      <c r="G80" s="36"/>
      <c r="H80" s="36">
        <f>G14*5%</f>
        <v>0</v>
      </c>
      <c r="I80" s="36">
        <f t="shared" ref="I80:S80" si="20">H14*5%</f>
        <v>0</v>
      </c>
      <c r="J80" s="36">
        <f t="shared" si="20"/>
        <v>0</v>
      </c>
      <c r="K80" s="36">
        <f t="shared" si="20"/>
        <v>0</v>
      </c>
      <c r="L80" s="36">
        <f t="shared" si="20"/>
        <v>905.28</v>
      </c>
      <c r="M80" s="36">
        <f t="shared" si="20"/>
        <v>1810.56</v>
      </c>
      <c r="N80" s="36">
        <f t="shared" si="20"/>
        <v>3168.48</v>
      </c>
      <c r="O80" s="36">
        <f>N14*5%</f>
        <v>4526.4000000000005</v>
      </c>
      <c r="P80" s="36">
        <f t="shared" si="20"/>
        <v>5884.3200000000015</v>
      </c>
      <c r="Q80" s="36">
        <f t="shared" si="20"/>
        <v>7287.5040000000008</v>
      </c>
      <c r="R80" s="36">
        <f t="shared" si="20"/>
        <v>7639.6579200000015</v>
      </c>
      <c r="S80" s="36">
        <f t="shared" si="20"/>
        <v>7991.8118400000021</v>
      </c>
      <c r="T80" s="33">
        <f t="shared" si="17"/>
        <v>39214.013760000002</v>
      </c>
    </row>
    <row r="81" spans="1:20" s="25" customFormat="1" outlineLevel="1">
      <c r="A81" s="24" t="s">
        <v>125</v>
      </c>
      <c r="B81" s="36"/>
      <c r="C81" s="36"/>
      <c r="D81" s="36"/>
      <c r="E81" s="36"/>
      <c r="F81" s="36"/>
      <c r="G81" s="36"/>
      <c r="H81" s="36">
        <f>G15*5%</f>
        <v>0</v>
      </c>
      <c r="I81" s="36">
        <f t="shared" ref="I81:S81" si="21">H15*5%</f>
        <v>0</v>
      </c>
      <c r="J81" s="36">
        <f t="shared" si="21"/>
        <v>0</v>
      </c>
      <c r="K81" s="36">
        <f t="shared" si="21"/>
        <v>0</v>
      </c>
      <c r="L81" s="36">
        <f t="shared" si="21"/>
        <v>0</v>
      </c>
      <c r="M81" s="36">
        <f t="shared" si="21"/>
        <v>0</v>
      </c>
      <c r="N81" s="36">
        <f t="shared" si="21"/>
        <v>0</v>
      </c>
      <c r="O81" s="36">
        <f>N15*5%</f>
        <v>0</v>
      </c>
      <c r="P81" s="36">
        <f t="shared" si="21"/>
        <v>0</v>
      </c>
      <c r="Q81" s="36">
        <f t="shared" si="21"/>
        <v>0</v>
      </c>
      <c r="R81" s="36">
        <f t="shared" si="21"/>
        <v>0</v>
      </c>
      <c r="S81" s="36">
        <f t="shared" si="21"/>
        <v>0</v>
      </c>
      <c r="T81" s="33">
        <f t="shared" si="17"/>
        <v>0</v>
      </c>
    </row>
    <row r="82" spans="1:20" s="25" customFormat="1" outlineLevel="1">
      <c r="A82" s="24" t="s">
        <v>126</v>
      </c>
      <c r="B82" s="36"/>
      <c r="C82" s="36"/>
      <c r="D82" s="36"/>
      <c r="E82" s="36"/>
      <c r="F82" s="36"/>
      <c r="G82" s="36"/>
      <c r="H82" s="36">
        <f>G14*20%</f>
        <v>0</v>
      </c>
      <c r="I82" s="36">
        <f t="shared" ref="I82:S82" si="22">H14*20%</f>
        <v>0</v>
      </c>
      <c r="J82" s="36">
        <f t="shared" si="22"/>
        <v>0</v>
      </c>
      <c r="K82" s="36">
        <f t="shared" si="22"/>
        <v>0</v>
      </c>
      <c r="L82" s="36">
        <f t="shared" si="22"/>
        <v>3621.12</v>
      </c>
      <c r="M82" s="36">
        <f t="shared" si="22"/>
        <v>7242.24</v>
      </c>
      <c r="N82" s="36">
        <f t="shared" si="22"/>
        <v>12673.92</v>
      </c>
      <c r="O82" s="36">
        <f>N14*20%</f>
        <v>18105.600000000002</v>
      </c>
      <c r="P82" s="36">
        <f t="shared" si="22"/>
        <v>23537.280000000006</v>
      </c>
      <c r="Q82" s="36">
        <f t="shared" si="22"/>
        <v>29150.016000000003</v>
      </c>
      <c r="R82" s="36">
        <f t="shared" si="22"/>
        <v>30558.631680000006</v>
      </c>
      <c r="S82" s="36">
        <f t="shared" si="22"/>
        <v>31967.247360000008</v>
      </c>
      <c r="T82" s="33">
        <f t="shared" si="17"/>
        <v>156856.05504000001</v>
      </c>
    </row>
    <row r="83" spans="1:20" s="25" customFormat="1" outlineLevel="1">
      <c r="A83" s="24" t="s">
        <v>127</v>
      </c>
      <c r="B83" s="36"/>
      <c r="C83" s="36"/>
      <c r="D83" s="36"/>
      <c r="E83" s="36"/>
      <c r="F83" s="36"/>
      <c r="G83" s="36"/>
      <c r="H83" s="36">
        <f>G15*20%</f>
        <v>0</v>
      </c>
      <c r="I83" s="36">
        <f t="shared" ref="I83:S83" si="23">H15*20%</f>
        <v>0</v>
      </c>
      <c r="J83" s="36">
        <f t="shared" si="23"/>
        <v>0</v>
      </c>
      <c r="K83" s="36">
        <f t="shared" si="23"/>
        <v>0</v>
      </c>
      <c r="L83" s="36">
        <f t="shared" si="23"/>
        <v>0</v>
      </c>
      <c r="M83" s="36">
        <f t="shared" si="23"/>
        <v>0</v>
      </c>
      <c r="N83" s="36">
        <f t="shared" si="23"/>
        <v>0</v>
      </c>
      <c r="O83" s="36">
        <f>N15*20%</f>
        <v>0</v>
      </c>
      <c r="P83" s="36">
        <f t="shared" si="23"/>
        <v>0</v>
      </c>
      <c r="Q83" s="36">
        <f t="shared" si="23"/>
        <v>0</v>
      </c>
      <c r="R83" s="36">
        <f t="shared" si="23"/>
        <v>0</v>
      </c>
      <c r="S83" s="36">
        <f t="shared" si="23"/>
        <v>0</v>
      </c>
      <c r="T83" s="33">
        <f t="shared" si="17"/>
        <v>0</v>
      </c>
    </row>
    <row r="84" spans="1:20" s="23" customFormat="1">
      <c r="A84" s="22" t="s">
        <v>128</v>
      </c>
      <c r="B84" s="35">
        <f>SUM(B85)</f>
        <v>0</v>
      </c>
      <c r="C84" s="35">
        <f t="shared" ref="C84:S84" si="24">SUM(C85)</f>
        <v>0</v>
      </c>
      <c r="D84" s="35">
        <f t="shared" si="24"/>
        <v>0</v>
      </c>
      <c r="E84" s="35">
        <f t="shared" si="24"/>
        <v>0</v>
      </c>
      <c r="F84" s="35">
        <f t="shared" si="24"/>
        <v>0</v>
      </c>
      <c r="G84" s="35">
        <f t="shared" si="24"/>
        <v>0</v>
      </c>
      <c r="H84" s="35">
        <f t="shared" si="24"/>
        <v>0</v>
      </c>
      <c r="I84" s="35">
        <f t="shared" si="24"/>
        <v>0</v>
      </c>
      <c r="J84" s="35">
        <f t="shared" si="24"/>
        <v>3300</v>
      </c>
      <c r="K84" s="35">
        <f t="shared" si="24"/>
        <v>3300</v>
      </c>
      <c r="L84" s="35">
        <f t="shared" si="24"/>
        <v>3300</v>
      </c>
      <c r="M84" s="35">
        <f t="shared" si="24"/>
        <v>6000</v>
      </c>
      <c r="N84" s="35">
        <f t="shared" si="24"/>
        <v>7200</v>
      </c>
      <c r="O84" s="35">
        <f t="shared" si="24"/>
        <v>8640</v>
      </c>
      <c r="P84" s="35">
        <f t="shared" si="24"/>
        <v>10368</v>
      </c>
      <c r="Q84" s="35">
        <f t="shared" si="24"/>
        <v>12441.6</v>
      </c>
      <c r="R84" s="35">
        <f t="shared" si="24"/>
        <v>14929.92</v>
      </c>
      <c r="S84" s="35">
        <f t="shared" si="24"/>
        <v>17915.903999999999</v>
      </c>
      <c r="T84" s="35">
        <f t="shared" si="17"/>
        <v>87395.423999999999</v>
      </c>
    </row>
    <row r="85" spans="1:20" s="25" customFormat="1" outlineLevel="1">
      <c r="A85" s="24" t="s">
        <v>104</v>
      </c>
      <c r="B85" s="36">
        <v>0</v>
      </c>
      <c r="C85" s="36">
        <v>0</v>
      </c>
      <c r="D85" s="36">
        <v>0</v>
      </c>
      <c r="E85" s="36">
        <v>0</v>
      </c>
      <c r="F85" s="36">
        <v>0</v>
      </c>
      <c r="G85" s="36">
        <v>0</v>
      </c>
      <c r="H85" s="36">
        <v>0</v>
      </c>
      <c r="I85" s="36">
        <v>0</v>
      </c>
      <c r="J85" s="149">
        <v>3300</v>
      </c>
      <c r="K85" s="149">
        <v>3300</v>
      </c>
      <c r="L85" s="149">
        <v>3300</v>
      </c>
      <c r="M85" s="36">
        <v>6000</v>
      </c>
      <c r="N85" s="36">
        <f t="shared" ref="N85:S85" si="25">M85*1.2</f>
        <v>7200</v>
      </c>
      <c r="O85" s="36">
        <f>N85*1.2</f>
        <v>8640</v>
      </c>
      <c r="P85" s="36">
        <f t="shared" si="25"/>
        <v>10368</v>
      </c>
      <c r="Q85" s="36">
        <f t="shared" si="25"/>
        <v>12441.6</v>
      </c>
      <c r="R85" s="36">
        <f t="shared" si="25"/>
        <v>14929.92</v>
      </c>
      <c r="S85" s="36">
        <f t="shared" si="25"/>
        <v>17915.903999999999</v>
      </c>
      <c r="T85" s="33">
        <f t="shared" si="17"/>
        <v>87395.423999999999</v>
      </c>
    </row>
    <row r="86" spans="1:20" s="3" customFormat="1">
      <c r="A86" s="21" t="s">
        <v>129</v>
      </c>
      <c r="B86" s="34">
        <f>B87+B95+B99+B116</f>
        <v>0</v>
      </c>
      <c r="C86" s="34">
        <f t="shared" ref="C86:S86" si="26">C87+C95+C99+C116+C142</f>
        <v>250</v>
      </c>
      <c r="D86" s="34">
        <f t="shared" si="26"/>
        <v>1755</v>
      </c>
      <c r="E86" s="34">
        <f t="shared" si="26"/>
        <v>54273.440000000002</v>
      </c>
      <c r="F86" s="34">
        <f t="shared" si="26"/>
        <v>80896.19</v>
      </c>
      <c r="G86" s="34">
        <f t="shared" si="26"/>
        <v>54757.36</v>
      </c>
      <c r="H86" s="34">
        <f>H87+H95+H99+H116+H142</f>
        <v>76755.159999999989</v>
      </c>
      <c r="I86" s="34">
        <f t="shared" si="26"/>
        <v>41903.509999999995</v>
      </c>
      <c r="J86" s="34">
        <f t="shared" si="26"/>
        <v>51966.51</v>
      </c>
      <c r="K86" s="34">
        <f t="shared" si="26"/>
        <v>56252.17</v>
      </c>
      <c r="L86" s="34">
        <f t="shared" si="26"/>
        <v>84221.64565567924</v>
      </c>
      <c r="M86" s="34">
        <f t="shared" si="26"/>
        <v>123155.66912835125</v>
      </c>
      <c r="N86" s="34">
        <f t="shared" si="26"/>
        <v>371408.01015287725</v>
      </c>
      <c r="O86" s="34">
        <f t="shared" si="26"/>
        <v>463246.73205711134</v>
      </c>
      <c r="P86" s="34">
        <f t="shared" si="26"/>
        <v>548019.00377186248</v>
      </c>
      <c r="Q86" s="34">
        <f t="shared" si="26"/>
        <v>652003.67761715862</v>
      </c>
      <c r="R86" s="34">
        <f t="shared" si="26"/>
        <v>766532.17196365236</v>
      </c>
      <c r="S86" s="34">
        <f t="shared" si="26"/>
        <v>904607.9671250399</v>
      </c>
      <c r="T86" s="34">
        <f t="shared" si="17"/>
        <v>4140072.227471733</v>
      </c>
    </row>
    <row r="87" spans="1:20" s="23" customFormat="1">
      <c r="A87" s="22" t="s">
        <v>130</v>
      </c>
      <c r="B87" s="35">
        <f>SUM(B88:B94)</f>
        <v>0</v>
      </c>
      <c r="C87" s="35">
        <f t="shared" ref="C87:S87" si="27">SUM(C88:C94)</f>
        <v>0</v>
      </c>
      <c r="D87" s="35">
        <f t="shared" si="27"/>
        <v>0</v>
      </c>
      <c r="E87" s="35">
        <f t="shared" si="27"/>
        <v>19539.419999999998</v>
      </c>
      <c r="F87" s="35">
        <f t="shared" si="27"/>
        <v>17011.84</v>
      </c>
      <c r="G87" s="35">
        <f t="shared" si="27"/>
        <v>41861.56</v>
      </c>
      <c r="H87" s="35">
        <f>SUM(H88:H94)</f>
        <v>57688.259999999995</v>
      </c>
      <c r="I87" s="35">
        <f>SUM(I88:I94)</f>
        <v>35867.57</v>
      </c>
      <c r="J87" s="35">
        <f>SUM(J88:J94)</f>
        <v>46000</v>
      </c>
      <c r="K87" s="35">
        <f t="shared" si="27"/>
        <v>46000</v>
      </c>
      <c r="L87" s="35">
        <f t="shared" si="27"/>
        <v>70000</v>
      </c>
      <c r="M87" s="35">
        <f t="shared" si="27"/>
        <v>105000</v>
      </c>
      <c r="N87" s="35">
        <f t="shared" si="27"/>
        <v>349800</v>
      </c>
      <c r="O87" s="35">
        <f t="shared" si="27"/>
        <v>416020</v>
      </c>
      <c r="P87" s="35">
        <f t="shared" si="27"/>
        <v>446172.99999999994</v>
      </c>
      <c r="Q87" s="35">
        <f t="shared" si="27"/>
        <v>480848.9499999999</v>
      </c>
      <c r="R87" s="35">
        <f t="shared" si="27"/>
        <v>520726.29249999986</v>
      </c>
      <c r="S87" s="35">
        <f t="shared" si="27"/>
        <v>566585.23637499986</v>
      </c>
      <c r="T87" s="35">
        <f t="shared" si="17"/>
        <v>3140709.3088749996</v>
      </c>
    </row>
    <row r="88" spans="1:20" s="3" customFormat="1" outlineLevel="1">
      <c r="A88" s="156" t="s">
        <v>131</v>
      </c>
      <c r="B88" s="156"/>
      <c r="C88" s="156"/>
      <c r="D88" s="156">
        <v>0</v>
      </c>
      <c r="E88" s="157">
        <v>18964.419999999998</v>
      </c>
      <c r="F88" s="157">
        <v>14000</v>
      </c>
      <c r="G88" s="157">
        <v>19000</v>
      </c>
      <c r="H88" s="157">
        <v>18000</v>
      </c>
      <c r="I88" s="163">
        <v>20000</v>
      </c>
      <c r="J88" s="37">
        <v>20000</v>
      </c>
      <c r="K88" s="37">
        <v>20000</v>
      </c>
      <c r="L88" s="37">
        <v>20000</v>
      </c>
      <c r="M88" s="37">
        <v>20000</v>
      </c>
      <c r="N88" s="37">
        <v>60000</v>
      </c>
      <c r="O88" s="37">
        <v>100000</v>
      </c>
      <c r="P88" s="37">
        <v>100000</v>
      </c>
      <c r="Q88" s="37">
        <v>100000</v>
      </c>
      <c r="R88" s="37">
        <v>100000</v>
      </c>
      <c r="S88" s="37">
        <v>100000</v>
      </c>
      <c r="T88" s="33">
        <f t="shared" si="17"/>
        <v>678000</v>
      </c>
    </row>
    <row r="89" spans="1:20" s="3" customFormat="1" outlineLevel="1">
      <c r="A89" s="156" t="s">
        <v>132</v>
      </c>
      <c r="B89" s="156"/>
      <c r="C89" s="156"/>
      <c r="D89" s="156"/>
      <c r="E89" s="156"/>
      <c r="F89" s="156"/>
      <c r="G89" s="156"/>
      <c r="H89" s="156">
        <v>200</v>
      </c>
      <c r="I89" s="156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33">
        <f t="shared" si="17"/>
        <v>200</v>
      </c>
    </row>
    <row r="90" spans="1:20" s="3" customFormat="1" outlineLevel="1">
      <c r="A90" s="156" t="s">
        <v>133</v>
      </c>
      <c r="B90" s="156"/>
      <c r="C90" s="156"/>
      <c r="D90" s="156">
        <v>0</v>
      </c>
      <c r="E90" s="156"/>
      <c r="F90" s="157">
        <v>2436.84</v>
      </c>
      <c r="G90" s="157">
        <v>5861.56</v>
      </c>
      <c r="H90" s="157">
        <v>31338.26</v>
      </c>
      <c r="I90" s="163">
        <f>3129.5+0.2+2162.87</f>
        <v>5292.57</v>
      </c>
      <c r="J90" s="148">
        <v>1000</v>
      </c>
      <c r="K90" s="148">
        <v>1000</v>
      </c>
      <c r="L90" s="148">
        <v>5000</v>
      </c>
      <c r="M90" s="148">
        <v>30000</v>
      </c>
      <c r="N90" s="37">
        <v>100000</v>
      </c>
      <c r="O90" s="37">
        <v>100000</v>
      </c>
      <c r="P90" s="37">
        <v>100000</v>
      </c>
      <c r="Q90" s="37">
        <v>100000</v>
      </c>
      <c r="R90" s="37">
        <v>100000</v>
      </c>
      <c r="S90" s="37">
        <v>100000</v>
      </c>
      <c r="T90" s="33">
        <f t="shared" si="17"/>
        <v>673630.83000000007</v>
      </c>
    </row>
    <row r="91" spans="1:20" s="3" customFormat="1" outlineLevel="1">
      <c r="A91" s="156" t="s">
        <v>134</v>
      </c>
      <c r="B91" s="156"/>
      <c r="C91" s="156"/>
      <c r="D91" s="156"/>
      <c r="E91" s="156"/>
      <c r="F91" s="156"/>
      <c r="G91" s="156"/>
      <c r="H91" s="156"/>
      <c r="I91" s="156"/>
      <c r="J91" s="148">
        <v>10000</v>
      </c>
      <c r="K91" s="148">
        <v>10000</v>
      </c>
      <c r="L91" s="148">
        <v>30000</v>
      </c>
      <c r="M91" s="148">
        <v>40000</v>
      </c>
      <c r="N91" s="37">
        <v>174800</v>
      </c>
      <c r="O91" s="37">
        <v>201019.99999999997</v>
      </c>
      <c r="P91" s="37">
        <v>231172.99999999994</v>
      </c>
      <c r="Q91" s="37">
        <v>265848.9499999999</v>
      </c>
      <c r="R91" s="37">
        <v>305726.29249999986</v>
      </c>
      <c r="S91" s="37">
        <v>351585.2363749998</v>
      </c>
      <c r="T91" s="33">
        <f t="shared" si="17"/>
        <v>1620153.4788749996</v>
      </c>
    </row>
    <row r="92" spans="1:20" s="3" customFormat="1" outlineLevel="1">
      <c r="A92" s="156" t="s">
        <v>135</v>
      </c>
      <c r="B92" s="156"/>
      <c r="C92" s="156"/>
      <c r="D92" s="156"/>
      <c r="E92" s="156"/>
      <c r="F92" s="156"/>
      <c r="G92" s="157">
        <v>17000</v>
      </c>
      <c r="H92" s="157">
        <v>7000</v>
      </c>
      <c r="I92" s="163">
        <v>5000</v>
      </c>
      <c r="J92" s="37">
        <v>5000</v>
      </c>
      <c r="K92" s="37">
        <v>5000</v>
      </c>
      <c r="L92" s="37">
        <v>5000</v>
      </c>
      <c r="M92" s="37">
        <v>5000</v>
      </c>
      <c r="N92" s="37">
        <v>5000</v>
      </c>
      <c r="O92" s="37">
        <v>5000</v>
      </c>
      <c r="P92" s="37">
        <v>5000</v>
      </c>
      <c r="Q92" s="37">
        <v>5000</v>
      </c>
      <c r="R92" s="37">
        <v>5000</v>
      </c>
      <c r="S92" s="37">
        <v>5000</v>
      </c>
      <c r="T92" s="33">
        <f t="shared" si="17"/>
        <v>62000</v>
      </c>
    </row>
    <row r="93" spans="1:20" s="3" customFormat="1" outlineLevel="1">
      <c r="A93" s="156" t="s">
        <v>136</v>
      </c>
      <c r="B93" s="156"/>
      <c r="C93" s="156"/>
      <c r="D93" s="156"/>
      <c r="E93" s="156"/>
      <c r="F93" s="156"/>
      <c r="G93" s="157"/>
      <c r="H93" s="157"/>
      <c r="I93" s="163">
        <v>5000</v>
      </c>
      <c r="J93" s="37">
        <v>10000</v>
      </c>
      <c r="K93" s="37">
        <v>10000</v>
      </c>
      <c r="L93" s="37">
        <v>10000</v>
      </c>
      <c r="M93" s="37">
        <v>10000</v>
      </c>
      <c r="N93" s="37">
        <v>10000</v>
      </c>
      <c r="O93" s="37">
        <v>10000</v>
      </c>
      <c r="P93" s="37">
        <v>10000</v>
      </c>
      <c r="Q93" s="37">
        <v>10000</v>
      </c>
      <c r="R93" s="37">
        <v>10000</v>
      </c>
      <c r="S93" s="37">
        <v>10000</v>
      </c>
      <c r="T93" s="33"/>
    </row>
    <row r="94" spans="1:20" s="3" customFormat="1" outlineLevel="1">
      <c r="A94" s="156" t="s">
        <v>137</v>
      </c>
      <c r="B94" s="156"/>
      <c r="C94" s="156"/>
      <c r="D94" s="156"/>
      <c r="E94" s="156">
        <v>575</v>
      </c>
      <c r="F94" s="156">
        <v>575</v>
      </c>
      <c r="G94" s="156"/>
      <c r="H94" s="157">
        <v>1150</v>
      </c>
      <c r="I94" s="165">
        <v>575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3">
        <f t="shared" si="17"/>
        <v>1725</v>
      </c>
    </row>
    <row r="95" spans="1:20" s="23" customFormat="1">
      <c r="A95" s="22" t="s">
        <v>138</v>
      </c>
      <c r="B95" s="35">
        <f>SUM(B96:B98)</f>
        <v>0</v>
      </c>
      <c r="C95" s="35">
        <f t="shared" ref="C95:S95" si="28">SUM(C96:C98)</f>
        <v>0</v>
      </c>
      <c r="D95" s="35">
        <f t="shared" si="28"/>
        <v>0</v>
      </c>
      <c r="E95" s="35">
        <f t="shared" si="28"/>
        <v>6540.06</v>
      </c>
      <c r="F95" s="35">
        <f t="shared" si="28"/>
        <v>7112.85</v>
      </c>
      <c r="G95" s="35">
        <f t="shared" si="28"/>
        <v>6424.3200000000006</v>
      </c>
      <c r="H95" s="35">
        <f t="shared" si="28"/>
        <v>3376.64</v>
      </c>
      <c r="I95" s="35">
        <f t="shared" si="28"/>
        <v>1199.42</v>
      </c>
      <c r="J95" s="35">
        <f t="shared" si="28"/>
        <v>664.12</v>
      </c>
      <c r="K95" s="35">
        <f t="shared" si="28"/>
        <v>5555.5</v>
      </c>
      <c r="L95" s="35">
        <f t="shared" si="28"/>
        <v>5555.5</v>
      </c>
      <c r="M95" s="35">
        <f>SUM(M96:M98)</f>
        <v>5555.5</v>
      </c>
      <c r="N95" s="35">
        <f t="shared" si="28"/>
        <v>72.150000000000006</v>
      </c>
      <c r="O95" s="35">
        <f t="shared" si="28"/>
        <v>72.150000000000006</v>
      </c>
      <c r="P95" s="35">
        <f t="shared" si="28"/>
        <v>72.150000000000006</v>
      </c>
      <c r="Q95" s="35">
        <f t="shared" si="28"/>
        <v>72.150000000000006</v>
      </c>
      <c r="R95" s="35">
        <f t="shared" si="28"/>
        <v>72.150000000000006</v>
      </c>
      <c r="S95" s="35">
        <f t="shared" si="28"/>
        <v>72.150000000000006</v>
      </c>
      <c r="T95" s="35">
        <f t="shared" si="17"/>
        <v>22339.580000000009</v>
      </c>
    </row>
    <row r="96" spans="1:20" s="3" customFormat="1" outlineLevel="1">
      <c r="A96" s="156" t="s">
        <v>139</v>
      </c>
      <c r="B96" s="156"/>
      <c r="C96" s="156"/>
      <c r="D96" s="156"/>
      <c r="E96" s="157">
        <v>5483.35</v>
      </c>
      <c r="F96" s="157">
        <v>5483.35</v>
      </c>
      <c r="G96" s="157">
        <v>5483.35</v>
      </c>
      <c r="H96" s="157">
        <v>2325.6</v>
      </c>
      <c r="I96" s="166">
        <f>72.15</f>
        <v>72.150000000000006</v>
      </c>
      <c r="J96" s="177">
        <v>72.150000000000006</v>
      </c>
      <c r="K96" s="37">
        <f t="shared" ref="K96:L96" si="29">5483.35+72.15</f>
        <v>5555.5</v>
      </c>
      <c r="L96" s="37">
        <f t="shared" si="29"/>
        <v>5555.5</v>
      </c>
      <c r="M96" s="37">
        <f>5483.35+72.15</f>
        <v>5555.5</v>
      </c>
      <c r="N96" s="37">
        <v>72.150000000000006</v>
      </c>
      <c r="O96" s="37">
        <v>72.150000000000006</v>
      </c>
      <c r="P96" s="37">
        <v>72.150000000000006</v>
      </c>
      <c r="Q96" s="37">
        <v>72.150000000000006</v>
      </c>
      <c r="R96" s="37">
        <v>72.150000000000006</v>
      </c>
      <c r="S96" s="37">
        <v>72.150000000000006</v>
      </c>
      <c r="T96" s="33">
        <f t="shared" si="17"/>
        <v>19569.30000000001</v>
      </c>
    </row>
    <row r="97" spans="1:20" s="3" customFormat="1" outlineLevel="1">
      <c r="A97" s="156" t="s">
        <v>140</v>
      </c>
      <c r="B97" s="156"/>
      <c r="C97" s="156"/>
      <c r="D97" s="156"/>
      <c r="E97" s="157">
        <v>1056.71</v>
      </c>
      <c r="F97" s="156">
        <v>668.5</v>
      </c>
      <c r="G97" s="156">
        <v>940.97</v>
      </c>
      <c r="H97" s="157">
        <v>1051.04</v>
      </c>
      <c r="I97" s="165">
        <f>243.21+536.42+128.44+219.2</f>
        <v>1127.27</v>
      </c>
      <c r="J97" s="174">
        <v>591.97</v>
      </c>
      <c r="K97" s="37"/>
      <c r="L97" s="37"/>
      <c r="M97" s="37"/>
      <c r="N97" s="37"/>
      <c r="O97" s="37"/>
      <c r="P97" s="37"/>
      <c r="Q97" s="37"/>
      <c r="R97" s="37"/>
      <c r="S97" s="37"/>
      <c r="T97" s="33">
        <f t="shared" si="17"/>
        <v>2770.2799999999997</v>
      </c>
    </row>
    <row r="98" spans="1:20" s="3" customFormat="1" outlineLevel="1">
      <c r="A98" s="156" t="s">
        <v>141</v>
      </c>
      <c r="B98" s="156"/>
      <c r="C98" s="156"/>
      <c r="D98" s="156"/>
      <c r="E98" s="156"/>
      <c r="F98" s="156">
        <v>961</v>
      </c>
      <c r="G98" s="156"/>
      <c r="H98" s="156"/>
      <c r="I98" s="156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3">
        <f t="shared" si="17"/>
        <v>0</v>
      </c>
    </row>
    <row r="99" spans="1:20" s="23" customFormat="1">
      <c r="A99" s="22" t="s">
        <v>142</v>
      </c>
      <c r="B99" s="35">
        <f>SUM(B100:B115)</f>
        <v>0</v>
      </c>
      <c r="C99" s="35">
        <f t="shared" ref="C99:S99" si="30">SUM(C100:C115)</f>
        <v>250</v>
      </c>
      <c r="D99" s="35">
        <f t="shared" si="30"/>
        <v>1755</v>
      </c>
      <c r="E99" s="35">
        <f t="shared" si="30"/>
        <v>7718.1599999999989</v>
      </c>
      <c r="F99" s="35">
        <f t="shared" si="30"/>
        <v>5222.8199999999988</v>
      </c>
      <c r="G99" s="35">
        <f t="shared" si="30"/>
        <v>1279.97</v>
      </c>
      <c r="H99" s="35">
        <f t="shared" si="30"/>
        <v>8039.1399999999994</v>
      </c>
      <c r="I99" s="35">
        <f>SUM(I100:I115)</f>
        <v>2450.9300000000003</v>
      </c>
      <c r="J99" s="35">
        <f t="shared" si="30"/>
        <v>2906.75</v>
      </c>
      <c r="K99" s="35">
        <f t="shared" si="30"/>
        <v>2816.45</v>
      </c>
      <c r="L99" s="35">
        <f t="shared" si="30"/>
        <v>2816.45</v>
      </c>
      <c r="M99" s="35">
        <f t="shared" si="30"/>
        <v>2816.45</v>
      </c>
      <c r="N99" s="35">
        <f t="shared" si="30"/>
        <v>2816.45</v>
      </c>
      <c r="O99" s="35">
        <f t="shared" si="30"/>
        <v>2000</v>
      </c>
      <c r="P99" s="35">
        <f t="shared" si="30"/>
        <v>2000</v>
      </c>
      <c r="Q99" s="35">
        <f t="shared" si="30"/>
        <v>2000</v>
      </c>
      <c r="R99" s="35">
        <f t="shared" si="30"/>
        <v>2000</v>
      </c>
      <c r="S99" s="35">
        <f t="shared" si="30"/>
        <v>2000</v>
      </c>
      <c r="T99" s="35">
        <f t="shared" si="17"/>
        <v>34662.620000000003</v>
      </c>
    </row>
    <row r="100" spans="1:20" s="3" customFormat="1" outlineLevel="1">
      <c r="A100" s="156" t="s">
        <v>143</v>
      </c>
      <c r="B100" s="156"/>
      <c r="C100" s="156"/>
      <c r="D100" s="156">
        <v>875</v>
      </c>
      <c r="E100" s="157">
        <v>2967.17</v>
      </c>
      <c r="F100" s="157">
        <v>3779.54</v>
      </c>
      <c r="G100" s="156">
        <v>71.94</v>
      </c>
      <c r="H100" s="157">
        <v>6676.66</v>
      </c>
      <c r="I100" s="165">
        <f>71.97+816.45+117.83</f>
        <v>1006.2500000000001</v>
      </c>
      <c r="J100" s="174">
        <v>816.45</v>
      </c>
      <c r="K100" s="37">
        <v>816.45</v>
      </c>
      <c r="L100" s="37">
        <v>816.45</v>
      </c>
      <c r="M100" s="37">
        <v>816.45</v>
      </c>
      <c r="N100" s="37">
        <v>816.45</v>
      </c>
      <c r="O100" s="37"/>
      <c r="P100" s="37"/>
      <c r="Q100" s="37"/>
      <c r="R100" s="37"/>
      <c r="S100" s="37"/>
      <c r="T100" s="33">
        <f t="shared" si="17"/>
        <v>11765.160000000003</v>
      </c>
    </row>
    <row r="101" spans="1:20" s="3" customFormat="1" outlineLevel="1">
      <c r="A101" s="156" t="s">
        <v>144</v>
      </c>
      <c r="B101" s="156"/>
      <c r="C101" s="156"/>
      <c r="D101" s="156"/>
      <c r="E101" s="156"/>
      <c r="F101" s="156"/>
      <c r="G101" s="156">
        <v>126.39</v>
      </c>
      <c r="H101" s="156">
        <v>178.12</v>
      </c>
      <c r="I101" s="157"/>
      <c r="J101" s="37">
        <v>2000</v>
      </c>
      <c r="K101" s="37">
        <v>2000</v>
      </c>
      <c r="L101" s="37">
        <v>2000</v>
      </c>
      <c r="M101" s="37">
        <v>2000</v>
      </c>
      <c r="N101" s="37">
        <v>2000</v>
      </c>
      <c r="O101" s="37">
        <v>2000</v>
      </c>
      <c r="P101" s="37">
        <v>2000</v>
      </c>
      <c r="Q101" s="37">
        <v>2000</v>
      </c>
      <c r="R101" s="37">
        <v>2000</v>
      </c>
      <c r="S101" s="37">
        <v>2000</v>
      </c>
      <c r="T101" s="33">
        <f t="shared" si="17"/>
        <v>20178.12</v>
      </c>
    </row>
    <row r="102" spans="1:20" s="3" customFormat="1" outlineLevel="1">
      <c r="A102" s="156" t="s">
        <v>145</v>
      </c>
      <c r="B102" s="156"/>
      <c r="C102" s="156"/>
      <c r="D102" s="156"/>
      <c r="E102" s="156">
        <v>447.57</v>
      </c>
      <c r="F102" s="156">
        <v>447.57</v>
      </c>
      <c r="G102" s="156">
        <v>447.57</v>
      </c>
      <c r="H102" s="156">
        <v>447.57</v>
      </c>
      <c r="I102" s="164">
        <v>447.57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3">
        <f t="shared" si="17"/>
        <v>895.14</v>
      </c>
    </row>
    <row r="103" spans="1:20" s="3" customFormat="1" outlineLevel="1">
      <c r="A103" s="156" t="s">
        <v>146</v>
      </c>
      <c r="B103" s="156"/>
      <c r="C103" s="156"/>
      <c r="D103" s="156"/>
      <c r="E103" s="157">
        <v>3204</v>
      </c>
      <c r="F103" s="156"/>
      <c r="G103" s="156"/>
      <c r="H103" s="156"/>
      <c r="I103" s="156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3">
        <f t="shared" si="17"/>
        <v>0</v>
      </c>
    </row>
    <row r="104" spans="1:20" s="3" customFormat="1" outlineLevel="1">
      <c r="A104" s="156" t="s">
        <v>147</v>
      </c>
      <c r="B104" s="156"/>
      <c r="C104" s="156">
        <v>250</v>
      </c>
      <c r="D104" s="156"/>
      <c r="E104" s="156"/>
      <c r="F104" s="156"/>
      <c r="G104" s="156"/>
      <c r="H104" s="156"/>
      <c r="I104" s="156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3">
        <f t="shared" si="17"/>
        <v>0</v>
      </c>
    </row>
    <row r="105" spans="1:20" s="3" customFormat="1" outlineLevel="1">
      <c r="A105" s="156" t="s">
        <v>148</v>
      </c>
      <c r="B105" s="156"/>
      <c r="C105" s="156"/>
      <c r="D105" s="156"/>
      <c r="E105" s="156">
        <v>443.23</v>
      </c>
      <c r="F105" s="156">
        <v>173.12</v>
      </c>
      <c r="G105" s="156">
        <v>173.12</v>
      </c>
      <c r="H105" s="156"/>
      <c r="I105" s="156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3">
        <f t="shared" si="17"/>
        <v>0</v>
      </c>
    </row>
    <row r="106" spans="1:20" s="3" customFormat="1" outlineLevel="1">
      <c r="A106" s="156" t="s">
        <v>149</v>
      </c>
      <c r="B106" s="156"/>
      <c r="C106" s="156"/>
      <c r="D106" s="156"/>
      <c r="E106" s="156"/>
      <c r="F106" s="156">
        <v>710.74</v>
      </c>
      <c r="G106" s="156"/>
      <c r="H106" s="156">
        <v>610.84</v>
      </c>
      <c r="I106" s="164">
        <f>121.94+12.93+13.97+32.98+12.99+13.94+2.1+14.11+8.94+6.96+3.95+14.94+10.93+13.07</f>
        <v>283.75</v>
      </c>
      <c r="J106" s="174">
        <v>90.3</v>
      </c>
      <c r="K106" s="37"/>
      <c r="L106" s="37"/>
      <c r="M106" s="37"/>
      <c r="N106" s="37"/>
      <c r="O106" s="37"/>
      <c r="P106" s="37"/>
      <c r="Q106" s="37"/>
      <c r="R106" s="37"/>
      <c r="S106" s="37"/>
      <c r="T106" s="33">
        <f t="shared" si="17"/>
        <v>984.89</v>
      </c>
    </row>
    <row r="107" spans="1:20" s="3" customFormat="1" outlineLevel="1">
      <c r="A107" s="156" t="s">
        <v>150</v>
      </c>
      <c r="B107" s="156"/>
      <c r="C107" s="156"/>
      <c r="D107" s="156"/>
      <c r="E107" s="156">
        <v>130</v>
      </c>
      <c r="F107" s="156">
        <v>20</v>
      </c>
      <c r="G107" s="156">
        <v>15</v>
      </c>
      <c r="H107" s="156"/>
      <c r="I107" s="164">
        <f>15+72</f>
        <v>87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3"/>
    </row>
    <row r="108" spans="1:20" s="3" customFormat="1" outlineLevel="1">
      <c r="A108" s="156" t="s">
        <v>151</v>
      </c>
      <c r="B108" s="156"/>
      <c r="C108" s="156"/>
      <c r="D108" s="156"/>
      <c r="E108" s="156">
        <v>2.95</v>
      </c>
      <c r="F108" s="156">
        <v>5.95</v>
      </c>
      <c r="G108" s="156">
        <v>5.95</v>
      </c>
      <c r="H108" s="156">
        <v>5.95</v>
      </c>
      <c r="I108" s="164">
        <v>5.95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3"/>
    </row>
    <row r="109" spans="1:20" s="3" customFormat="1" outlineLevel="1">
      <c r="A109" s="156" t="s">
        <v>152</v>
      </c>
      <c r="B109" s="156"/>
      <c r="C109" s="156"/>
      <c r="D109" s="156"/>
      <c r="E109" s="156"/>
      <c r="F109" s="156"/>
      <c r="G109" s="156"/>
      <c r="H109" s="156">
        <v>120</v>
      </c>
      <c r="I109" s="156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3"/>
    </row>
    <row r="110" spans="1:20" s="3" customFormat="1" outlineLevel="1">
      <c r="A110" s="156" t="s">
        <v>153</v>
      </c>
      <c r="B110" s="156"/>
      <c r="C110" s="156"/>
      <c r="D110" s="156"/>
      <c r="E110" s="156"/>
      <c r="F110" s="156"/>
      <c r="G110" s="156"/>
      <c r="I110" s="170">
        <v>270.41000000000003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3">
        <f>SUM(I110:S110)</f>
        <v>270.41000000000003</v>
      </c>
    </row>
    <row r="111" spans="1:20" s="3" customFormat="1" outlineLevel="1">
      <c r="A111" s="156" t="s">
        <v>154</v>
      </c>
      <c r="B111" s="156"/>
      <c r="C111" s="156"/>
      <c r="D111" s="156"/>
      <c r="E111" s="156"/>
      <c r="F111" s="156">
        <v>49.9</v>
      </c>
      <c r="G111" s="156"/>
      <c r="H111" s="156"/>
      <c r="I111" s="156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3">
        <f t="shared" ref="T111:T145" si="31">SUM(H111:S111)</f>
        <v>0</v>
      </c>
    </row>
    <row r="112" spans="1:20" s="3" customFormat="1" outlineLevel="1">
      <c r="A112" s="156" t="s">
        <v>155</v>
      </c>
      <c r="B112" s="156"/>
      <c r="C112" s="156"/>
      <c r="D112" s="156"/>
      <c r="E112" s="156">
        <v>424.24</v>
      </c>
      <c r="F112" s="156"/>
      <c r="G112" s="156"/>
      <c r="H112" s="156"/>
      <c r="I112" s="156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3">
        <f t="shared" si="31"/>
        <v>0</v>
      </c>
    </row>
    <row r="113" spans="1:20" s="3" customFormat="1" outlineLevel="1">
      <c r="A113" s="156" t="s">
        <v>156</v>
      </c>
      <c r="B113" s="156"/>
      <c r="C113" s="156"/>
      <c r="D113" s="156"/>
      <c r="E113" s="156">
        <v>99</v>
      </c>
      <c r="F113" s="156">
        <v>36</v>
      </c>
      <c r="G113" s="156"/>
      <c r="H113" s="156"/>
      <c r="I113" s="164">
        <f>200+150</f>
        <v>350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3">
        <f t="shared" si="31"/>
        <v>350</v>
      </c>
    </row>
    <row r="114" spans="1:20" s="3" customFormat="1" outlineLevel="1">
      <c r="A114" s="156" t="s">
        <v>157</v>
      </c>
      <c r="B114" s="156"/>
      <c r="C114" s="156"/>
      <c r="D114" s="156"/>
      <c r="E114" s="156"/>
      <c r="F114" s="156"/>
      <c r="G114" s="156"/>
      <c r="H114" s="156"/>
      <c r="I114" s="156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3">
        <f t="shared" si="31"/>
        <v>0</v>
      </c>
    </row>
    <row r="115" spans="1:20" s="3" customFormat="1" outlineLevel="1">
      <c r="A115" s="156" t="s">
        <v>158</v>
      </c>
      <c r="B115" s="156"/>
      <c r="C115" s="156"/>
      <c r="D115" s="156">
        <v>880</v>
      </c>
      <c r="E115" s="156"/>
      <c r="F115" s="156"/>
      <c r="G115" s="156">
        <v>440</v>
      </c>
      <c r="H115" s="156"/>
      <c r="I115" s="156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3">
        <f t="shared" si="31"/>
        <v>0</v>
      </c>
    </row>
    <row r="116" spans="1:20" s="23" customFormat="1">
      <c r="A116" s="22" t="s">
        <v>159</v>
      </c>
      <c r="B116" s="35">
        <f t="shared" ref="B116:S116" si="32">SUM(B117:B141)</f>
        <v>0</v>
      </c>
      <c r="C116" s="35">
        <f t="shared" si="32"/>
        <v>0</v>
      </c>
      <c r="D116" s="35">
        <f t="shared" si="32"/>
        <v>0</v>
      </c>
      <c r="E116" s="35">
        <f t="shared" si="32"/>
        <v>20475.8</v>
      </c>
      <c r="F116" s="35">
        <f t="shared" si="32"/>
        <v>51548.68</v>
      </c>
      <c r="G116" s="35">
        <f t="shared" si="32"/>
        <v>5191.5099999999993</v>
      </c>
      <c r="H116" s="35">
        <f t="shared" si="32"/>
        <v>7651.12</v>
      </c>
      <c r="I116" s="35">
        <f>SUM(I117:I141)</f>
        <v>2385.5899999999997</v>
      </c>
      <c r="J116" s="35">
        <f t="shared" si="32"/>
        <v>2395.64</v>
      </c>
      <c r="K116" s="35">
        <f t="shared" si="32"/>
        <v>1880.2199999999998</v>
      </c>
      <c r="L116" s="35">
        <f t="shared" si="32"/>
        <v>819.31999999999994</v>
      </c>
      <c r="M116" s="35">
        <f t="shared" si="32"/>
        <v>340.28999999999996</v>
      </c>
      <c r="N116" s="35">
        <f t="shared" si="32"/>
        <v>0</v>
      </c>
      <c r="O116" s="35">
        <f t="shared" si="32"/>
        <v>0</v>
      </c>
      <c r="P116" s="35">
        <f t="shared" si="32"/>
        <v>0</v>
      </c>
      <c r="Q116" s="35">
        <f t="shared" si="32"/>
        <v>0</v>
      </c>
      <c r="R116" s="35">
        <f t="shared" si="32"/>
        <v>0</v>
      </c>
      <c r="S116" s="35">
        <f t="shared" si="32"/>
        <v>0</v>
      </c>
      <c r="T116" s="35">
        <f t="shared" si="31"/>
        <v>15472.179999999997</v>
      </c>
    </row>
    <row r="117" spans="1:20" s="3" customFormat="1" outlineLevel="1">
      <c r="A117" s="156" t="s">
        <v>160</v>
      </c>
      <c r="B117" s="156"/>
      <c r="C117" s="156"/>
      <c r="D117" s="156"/>
      <c r="E117" s="157">
        <v>18552</v>
      </c>
      <c r="F117" s="157">
        <v>43288</v>
      </c>
      <c r="G117" s="157">
        <v>3400</v>
      </c>
      <c r="H117" s="156"/>
      <c r="I117" s="156"/>
      <c r="J117" s="37"/>
      <c r="K117" s="148"/>
      <c r="L117" s="148"/>
      <c r="M117" s="37"/>
      <c r="N117" s="37"/>
      <c r="O117" s="37"/>
      <c r="P117" s="37"/>
      <c r="Q117" s="37"/>
      <c r="R117" s="37"/>
      <c r="S117" s="37"/>
      <c r="T117" s="33">
        <f t="shared" si="31"/>
        <v>0</v>
      </c>
    </row>
    <row r="118" spans="1:20" s="3" customFormat="1" outlineLevel="1">
      <c r="A118" s="156" t="s">
        <v>161</v>
      </c>
      <c r="B118" s="156"/>
      <c r="C118" s="156"/>
      <c r="D118" s="156"/>
      <c r="E118" s="156"/>
      <c r="F118" s="156">
        <v>580</v>
      </c>
      <c r="G118" s="156"/>
      <c r="H118" s="157">
        <v>1160</v>
      </c>
      <c r="I118" s="156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3">
        <f t="shared" si="31"/>
        <v>1160</v>
      </c>
    </row>
    <row r="119" spans="1:20" s="3" customFormat="1" outlineLevel="1">
      <c r="A119" s="156" t="s">
        <v>162</v>
      </c>
      <c r="B119" s="156"/>
      <c r="C119" s="156"/>
      <c r="D119" s="156"/>
      <c r="E119" s="156">
        <v>126</v>
      </c>
      <c r="F119" s="156">
        <v>294</v>
      </c>
      <c r="G119" s="156"/>
      <c r="H119" s="156"/>
      <c r="I119" s="156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3">
        <f t="shared" si="31"/>
        <v>0</v>
      </c>
    </row>
    <row r="120" spans="1:20" s="3" customFormat="1" outlineLevel="1">
      <c r="A120" s="156" t="s">
        <v>163</v>
      </c>
      <c r="B120" s="156"/>
      <c r="C120" s="156"/>
      <c r="D120" s="156"/>
      <c r="E120" s="156">
        <v>450</v>
      </c>
      <c r="F120" s="157">
        <v>1050</v>
      </c>
      <c r="G120" s="156"/>
      <c r="H120" s="156"/>
      <c r="I120" s="156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3">
        <f t="shared" si="31"/>
        <v>0</v>
      </c>
    </row>
    <row r="121" spans="1:20" s="3" customFormat="1" outlineLevel="1">
      <c r="A121" s="156" t="s">
        <v>164</v>
      </c>
      <c r="B121" s="156"/>
      <c r="C121" s="156"/>
      <c r="D121" s="156"/>
      <c r="E121" s="156"/>
      <c r="F121" s="156"/>
      <c r="G121" s="156"/>
      <c r="H121" s="156"/>
      <c r="I121" s="156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3">
        <f t="shared" si="31"/>
        <v>0</v>
      </c>
    </row>
    <row r="122" spans="1:20" s="3" customFormat="1" outlineLevel="1">
      <c r="A122" s="156" t="s">
        <v>165</v>
      </c>
      <c r="B122" s="156"/>
      <c r="C122" s="156"/>
      <c r="D122" s="156"/>
      <c r="E122" s="156"/>
      <c r="F122" s="156">
        <v>53.66</v>
      </c>
      <c r="G122" s="156">
        <v>53.66</v>
      </c>
      <c r="H122" s="156"/>
      <c r="I122" s="164">
        <v>56.67</v>
      </c>
      <c r="J122" s="174">
        <v>53.66</v>
      </c>
      <c r="K122" s="37">
        <v>53.66</v>
      </c>
      <c r="L122" s="37">
        <v>53.66</v>
      </c>
      <c r="M122" s="37"/>
      <c r="N122" s="37"/>
      <c r="O122" s="37"/>
      <c r="P122" s="37"/>
      <c r="Q122" s="37"/>
      <c r="R122" s="37"/>
      <c r="S122" s="37"/>
      <c r="T122" s="33">
        <f t="shared" si="31"/>
        <v>217.65</v>
      </c>
    </row>
    <row r="123" spans="1:20" s="3" customFormat="1" outlineLevel="1">
      <c r="A123" s="156" t="s">
        <v>166</v>
      </c>
      <c r="B123" s="156"/>
      <c r="C123" s="156"/>
      <c r="D123" s="156"/>
      <c r="E123" s="156"/>
      <c r="F123" s="156"/>
      <c r="G123" s="156"/>
      <c r="H123" s="157">
        <v>1315.74</v>
      </c>
      <c r="I123" s="165">
        <v>657.9</v>
      </c>
      <c r="J123" s="174">
        <v>657.9</v>
      </c>
      <c r="K123" s="37">
        <v>657.9</v>
      </c>
      <c r="L123" s="37"/>
      <c r="M123" s="37"/>
      <c r="N123" s="37"/>
      <c r="O123" s="37"/>
      <c r="P123" s="37"/>
      <c r="Q123" s="37"/>
      <c r="R123" s="37"/>
      <c r="S123" s="37"/>
      <c r="T123" s="33">
        <f t="shared" si="31"/>
        <v>3289.44</v>
      </c>
    </row>
    <row r="124" spans="1:20" s="3" customFormat="1" outlineLevel="1">
      <c r="A124" s="156" t="s">
        <v>167</v>
      </c>
      <c r="B124" s="156"/>
      <c r="C124" s="156"/>
      <c r="D124" s="156"/>
      <c r="E124" s="156"/>
      <c r="F124" s="156">
        <v>320</v>
      </c>
      <c r="G124" s="156">
        <v>320</v>
      </c>
      <c r="H124" s="156">
        <v>320</v>
      </c>
      <c r="I124" s="164">
        <v>320</v>
      </c>
      <c r="J124" s="174">
        <v>320</v>
      </c>
      <c r="K124" s="37"/>
      <c r="L124" s="37"/>
      <c r="M124" s="37"/>
      <c r="N124" s="37"/>
      <c r="O124" s="37"/>
      <c r="P124" s="37"/>
      <c r="Q124" s="37"/>
      <c r="R124" s="37"/>
      <c r="S124" s="37"/>
      <c r="T124" s="33">
        <f t="shared" si="31"/>
        <v>960</v>
      </c>
    </row>
    <row r="125" spans="1:20" s="3" customFormat="1" outlineLevel="1">
      <c r="A125" s="156" t="s">
        <v>168</v>
      </c>
      <c r="B125" s="156"/>
      <c r="C125" s="156"/>
      <c r="D125" s="156"/>
      <c r="E125" s="156"/>
      <c r="F125" s="156"/>
      <c r="G125" s="156">
        <v>896.28</v>
      </c>
      <c r="H125" s="156"/>
      <c r="I125" s="156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3">
        <f t="shared" si="31"/>
        <v>0</v>
      </c>
    </row>
    <row r="126" spans="1:20" s="3" customFormat="1" outlineLevel="1">
      <c r="A126" s="156" t="s">
        <v>169</v>
      </c>
      <c r="B126" s="156"/>
      <c r="C126" s="156"/>
      <c r="D126" s="156"/>
      <c r="E126" s="156"/>
      <c r="F126" s="156">
        <v>165</v>
      </c>
      <c r="G126" s="156"/>
      <c r="H126" s="156"/>
      <c r="I126" s="156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3">
        <f t="shared" si="31"/>
        <v>0</v>
      </c>
    </row>
    <row r="127" spans="1:20" s="3" customFormat="1" outlineLevel="1">
      <c r="A127" s="156" t="s">
        <v>170</v>
      </c>
      <c r="B127" s="156"/>
      <c r="C127" s="156"/>
      <c r="D127" s="156"/>
      <c r="E127" s="156"/>
      <c r="F127" s="156">
        <v>170</v>
      </c>
      <c r="G127" s="156"/>
      <c r="H127" s="156"/>
      <c r="I127" s="156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3">
        <f t="shared" si="31"/>
        <v>0</v>
      </c>
    </row>
    <row r="128" spans="1:20" s="3" customFormat="1" outlineLevel="1">
      <c r="A128" s="156" t="s">
        <v>171</v>
      </c>
      <c r="B128" s="156"/>
      <c r="C128" s="156"/>
      <c r="D128" s="156"/>
      <c r="E128" s="156"/>
      <c r="F128" s="156">
        <v>590</v>
      </c>
      <c r="G128" s="156"/>
      <c r="H128" s="156"/>
      <c r="I128" s="156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3">
        <f t="shared" si="31"/>
        <v>0</v>
      </c>
    </row>
    <row r="129" spans="1:20" s="3" customFormat="1" outlineLevel="1">
      <c r="A129" s="156" t="s">
        <v>172</v>
      </c>
      <c r="B129" s="156"/>
      <c r="C129" s="156"/>
      <c r="D129" s="156"/>
      <c r="E129" s="156"/>
      <c r="F129" s="156">
        <v>60</v>
      </c>
      <c r="G129" s="156"/>
      <c r="H129" s="156"/>
      <c r="I129" s="156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3">
        <f t="shared" si="31"/>
        <v>0</v>
      </c>
    </row>
    <row r="130" spans="1:20" s="3" customFormat="1" outlineLevel="1">
      <c r="A130" s="156" t="s">
        <v>173</v>
      </c>
      <c r="B130" s="156"/>
      <c r="C130" s="156"/>
      <c r="D130" s="156"/>
      <c r="E130" s="156"/>
      <c r="F130" s="157">
        <v>1400</v>
      </c>
      <c r="G130" s="156"/>
      <c r="H130" s="156"/>
      <c r="I130" s="156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3">
        <f t="shared" si="31"/>
        <v>0</v>
      </c>
    </row>
    <row r="131" spans="1:20" s="3" customFormat="1" outlineLevel="1">
      <c r="A131" s="156" t="s">
        <v>174</v>
      </c>
      <c r="B131" s="156"/>
      <c r="C131" s="156"/>
      <c r="D131" s="156"/>
      <c r="E131" s="156"/>
      <c r="F131" s="157">
        <v>1600</v>
      </c>
      <c r="G131" s="156"/>
      <c r="H131" s="156"/>
      <c r="I131" s="156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3"/>
    </row>
    <row r="132" spans="1:20" s="3" customFormat="1" outlineLevel="1">
      <c r="A132" s="156" t="s">
        <v>175</v>
      </c>
      <c r="B132" s="156"/>
      <c r="C132" s="156"/>
      <c r="D132" s="156"/>
      <c r="E132" s="156"/>
      <c r="F132" s="156">
        <v>788</v>
      </c>
      <c r="G132" s="156"/>
      <c r="H132" s="157">
        <v>1877</v>
      </c>
      <c r="I132" s="156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3"/>
    </row>
    <row r="133" spans="1:20" s="3" customFormat="1" outlineLevel="1">
      <c r="A133" s="156" t="s">
        <v>176</v>
      </c>
      <c r="B133" s="156"/>
      <c r="C133" s="156"/>
      <c r="D133" s="156"/>
      <c r="E133" s="156"/>
      <c r="F133" s="156"/>
      <c r="G133" s="156">
        <v>74</v>
      </c>
      <c r="H133" s="156"/>
      <c r="I133" s="156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3">
        <f t="shared" si="31"/>
        <v>0</v>
      </c>
    </row>
    <row r="134" spans="1:20" s="3" customFormat="1" outlineLevel="1">
      <c r="A134" s="156" t="s">
        <v>177</v>
      </c>
      <c r="B134" s="156"/>
      <c r="C134" s="156"/>
      <c r="D134" s="156"/>
      <c r="E134" s="156"/>
      <c r="F134" s="156">
        <v>301</v>
      </c>
      <c r="G134" s="156"/>
      <c r="H134" s="156"/>
      <c r="I134" s="156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3">
        <f t="shared" si="31"/>
        <v>0</v>
      </c>
    </row>
    <row r="135" spans="1:20" s="3" customFormat="1" outlineLevel="1">
      <c r="A135" s="156" t="s">
        <v>178</v>
      </c>
      <c r="B135" s="156"/>
      <c r="C135" s="156"/>
      <c r="D135" s="156"/>
      <c r="E135" s="156">
        <v>465.6</v>
      </c>
      <c r="F135" s="156">
        <v>271.02</v>
      </c>
      <c r="G135" s="156"/>
      <c r="H135" s="156">
        <v>542.04</v>
      </c>
      <c r="I135" s="165">
        <v>271.02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3">
        <f t="shared" si="31"/>
        <v>813.06</v>
      </c>
    </row>
    <row r="136" spans="1:20" s="3" customFormat="1" outlineLevel="1">
      <c r="A136" s="156" t="s">
        <v>179</v>
      </c>
      <c r="B136" s="156"/>
      <c r="C136" s="156"/>
      <c r="D136" s="156"/>
      <c r="E136" s="156">
        <v>283</v>
      </c>
      <c r="F136" s="156"/>
      <c r="G136" s="156"/>
      <c r="H136" s="156"/>
      <c r="I136" s="156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3">
        <f t="shared" si="31"/>
        <v>0</v>
      </c>
    </row>
    <row r="137" spans="1:20" s="3" customFormat="1" outlineLevel="1">
      <c r="A137" s="156" t="s">
        <v>180</v>
      </c>
      <c r="B137" s="156"/>
      <c r="C137" s="156"/>
      <c r="D137" s="156"/>
      <c r="E137" s="156">
        <v>599.20000000000005</v>
      </c>
      <c r="F137" s="156"/>
      <c r="G137" s="156"/>
      <c r="H137" s="156"/>
      <c r="I137" s="156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3">
        <f t="shared" si="31"/>
        <v>0</v>
      </c>
    </row>
    <row r="138" spans="1:20" s="3" customFormat="1" outlineLevel="1">
      <c r="A138" s="156" t="s">
        <v>181</v>
      </c>
      <c r="B138" s="156"/>
      <c r="C138" s="156"/>
      <c r="D138" s="156"/>
      <c r="E138" s="156"/>
      <c r="F138" s="156">
        <v>268</v>
      </c>
      <c r="G138" s="156">
        <v>447.57</v>
      </c>
      <c r="H138" s="157">
        <v>1720.5</v>
      </c>
      <c r="I138" s="167">
        <f>434.9+425.37</f>
        <v>860.27</v>
      </c>
      <c r="J138" s="174">
        <f>434.95+425.37+163.47</f>
        <v>1023.79</v>
      </c>
      <c r="K138" s="37">
        <v>828.37</v>
      </c>
      <c r="L138" s="37">
        <v>425.37</v>
      </c>
      <c r="M138" s="37"/>
      <c r="N138" s="37"/>
      <c r="O138" s="37"/>
      <c r="P138" s="37"/>
      <c r="Q138" s="37"/>
      <c r="R138" s="37"/>
      <c r="S138" s="37"/>
      <c r="T138" s="33">
        <f t="shared" si="31"/>
        <v>4858.3</v>
      </c>
    </row>
    <row r="139" spans="1:20" s="3" customFormat="1" outlineLevel="1">
      <c r="A139" s="156" t="s">
        <v>182</v>
      </c>
      <c r="B139" s="156"/>
      <c r="C139" s="156"/>
      <c r="D139" s="156"/>
      <c r="E139" s="156"/>
      <c r="F139" s="156"/>
      <c r="G139" s="156"/>
      <c r="H139" s="156">
        <v>715.84</v>
      </c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3">
        <f t="shared" si="31"/>
        <v>715.84</v>
      </c>
    </row>
    <row r="140" spans="1:20" s="3" customFormat="1" outlineLevel="1">
      <c r="A140" s="156" t="s">
        <v>183</v>
      </c>
      <c r="B140" s="156"/>
      <c r="C140" s="156"/>
      <c r="D140" s="156"/>
      <c r="E140" s="156"/>
      <c r="F140" s="156"/>
      <c r="G140" s="156"/>
      <c r="H140" s="156"/>
      <c r="I140" s="168">
        <f>101.9+117.83</f>
        <v>219.73000000000002</v>
      </c>
      <c r="J140" s="176">
        <f t="shared" ref="J140:M140" si="33">178.11+101.9+60.28</f>
        <v>340.28999999999996</v>
      </c>
      <c r="K140">
        <f t="shared" si="33"/>
        <v>340.28999999999996</v>
      </c>
      <c r="L140">
        <f t="shared" si="33"/>
        <v>340.28999999999996</v>
      </c>
      <c r="M140">
        <f t="shared" si="33"/>
        <v>340.28999999999996</v>
      </c>
      <c r="N140" s="37"/>
      <c r="O140" s="37"/>
      <c r="P140" s="37"/>
      <c r="Q140" s="37"/>
      <c r="R140" s="37"/>
      <c r="S140" s="37"/>
      <c r="T140" s="33"/>
    </row>
    <row r="141" spans="1:20" s="3" customFormat="1" outlineLevel="1">
      <c r="A141" s="156" t="s">
        <v>184</v>
      </c>
      <c r="B141" s="156"/>
      <c r="C141" s="156"/>
      <c r="D141" s="156"/>
      <c r="E141" s="156"/>
      <c r="F141" s="156">
        <v>350</v>
      </c>
      <c r="G141" s="156"/>
      <c r="H141" s="156"/>
      <c r="I141" s="156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3">
        <f t="shared" si="31"/>
        <v>0</v>
      </c>
    </row>
    <row r="142" spans="1:20" s="3" customFormat="1">
      <c r="A142" s="21" t="s">
        <v>185</v>
      </c>
      <c r="B142" s="34">
        <f>SUM(B143)</f>
        <v>0</v>
      </c>
      <c r="C142" s="34">
        <f t="shared" ref="C142:S142" si="34">SUM(C143)</f>
        <v>0</v>
      </c>
      <c r="D142" s="34">
        <f t="shared" si="34"/>
        <v>0</v>
      </c>
      <c r="E142" s="34">
        <f t="shared" si="34"/>
        <v>0</v>
      </c>
      <c r="F142" s="34">
        <f t="shared" si="34"/>
        <v>0</v>
      </c>
      <c r="G142" s="34">
        <f t="shared" si="34"/>
        <v>0</v>
      </c>
      <c r="H142" s="34">
        <f t="shared" si="34"/>
        <v>0</v>
      </c>
      <c r="I142" s="34">
        <f t="shared" si="34"/>
        <v>0</v>
      </c>
      <c r="J142" s="34">
        <f t="shared" si="34"/>
        <v>0</v>
      </c>
      <c r="K142" s="34">
        <f t="shared" si="34"/>
        <v>0</v>
      </c>
      <c r="L142" s="34">
        <f t="shared" si="34"/>
        <v>5030.3756556792405</v>
      </c>
      <c r="M142" s="34">
        <f t="shared" si="34"/>
        <v>9443.4291283512539</v>
      </c>
      <c r="N142" s="34">
        <f t="shared" si="34"/>
        <v>18719.410152877204</v>
      </c>
      <c r="O142" s="34">
        <f t="shared" si="34"/>
        <v>45154.582057111344</v>
      </c>
      <c r="P142" s="34">
        <f t="shared" si="34"/>
        <v>99773.853771862516</v>
      </c>
      <c r="Q142" s="34">
        <f t="shared" si="34"/>
        <v>169082.57761715871</v>
      </c>
      <c r="R142" s="34">
        <f t="shared" si="34"/>
        <v>243733.72946365247</v>
      </c>
      <c r="S142" s="34">
        <f t="shared" si="34"/>
        <v>335950.58075004001</v>
      </c>
      <c r="T142" s="34">
        <f t="shared" si="31"/>
        <v>926888.53859673277</v>
      </c>
    </row>
    <row r="143" spans="1:20" s="3" customFormat="1" ht="15.95" outlineLevel="1" thickBot="1">
      <c r="A143" s="3" t="s">
        <v>186</v>
      </c>
      <c r="B143" s="37"/>
      <c r="C143" s="37">
        <f t="shared" ref="C143:S143" si="35">B5*0.06</f>
        <v>0</v>
      </c>
      <c r="D143" s="37">
        <f t="shared" si="35"/>
        <v>0</v>
      </c>
      <c r="E143" s="37">
        <f t="shared" si="35"/>
        <v>0</v>
      </c>
      <c r="F143" s="37">
        <f t="shared" si="35"/>
        <v>0</v>
      </c>
      <c r="G143" s="37">
        <f t="shared" si="35"/>
        <v>0</v>
      </c>
      <c r="H143" s="37">
        <f t="shared" si="35"/>
        <v>0</v>
      </c>
      <c r="I143" s="37">
        <f t="shared" si="35"/>
        <v>0</v>
      </c>
      <c r="J143" s="37">
        <f t="shared" si="35"/>
        <v>0</v>
      </c>
      <c r="K143" s="37">
        <f t="shared" si="35"/>
        <v>0</v>
      </c>
      <c r="L143" s="37">
        <f t="shared" si="35"/>
        <v>5030.3756556792405</v>
      </c>
      <c r="M143" s="37">
        <f t="shared" si="35"/>
        <v>9443.4291283512539</v>
      </c>
      <c r="N143" s="37">
        <f t="shared" si="35"/>
        <v>18719.410152877204</v>
      </c>
      <c r="O143" s="37">
        <f>N5*0.06</f>
        <v>45154.582057111344</v>
      </c>
      <c r="P143" s="37">
        <f t="shared" si="35"/>
        <v>99773.853771862516</v>
      </c>
      <c r="Q143" s="37">
        <f t="shared" si="35"/>
        <v>169082.57761715871</v>
      </c>
      <c r="R143" s="37">
        <f t="shared" si="35"/>
        <v>243733.72946365247</v>
      </c>
      <c r="S143" s="37">
        <f t="shared" si="35"/>
        <v>335950.58075004001</v>
      </c>
      <c r="T143" s="33">
        <f t="shared" si="31"/>
        <v>926888.53859673277</v>
      </c>
    </row>
    <row r="144" spans="1:20" ht="15.95" thickBot="1">
      <c r="A144" s="52" t="s">
        <v>187</v>
      </c>
      <c r="B144" s="53">
        <f t="shared" ref="B144:S144" si="36">B4-B25</f>
        <v>0</v>
      </c>
      <c r="C144" s="53">
        <f t="shared" si="36"/>
        <v>-3887.33</v>
      </c>
      <c r="D144" s="53">
        <f t="shared" si="36"/>
        <v>-73368.929999999993</v>
      </c>
      <c r="E144" s="53">
        <f t="shared" si="36"/>
        <v>-165876.82</v>
      </c>
      <c r="F144" s="53">
        <f t="shared" si="36"/>
        <v>-217155.82</v>
      </c>
      <c r="G144" s="53">
        <f t="shared" si="36"/>
        <v>-211330.66999999998</v>
      </c>
      <c r="H144" s="53">
        <f t="shared" si="36"/>
        <v>-222684.31</v>
      </c>
      <c r="I144" s="53">
        <f t="shared" si="36"/>
        <v>-215511.16999999998</v>
      </c>
      <c r="J144" s="53">
        <f t="shared" si="36"/>
        <v>-212082.91</v>
      </c>
      <c r="K144" s="53">
        <f t="shared" si="36"/>
        <v>-122522.44573867931</v>
      </c>
      <c r="L144" s="53">
        <f t="shared" si="36"/>
        <v>-46272.025838837551</v>
      </c>
      <c r="M144" s="53">
        <f t="shared" si="36"/>
        <v>41635.770957917557</v>
      </c>
      <c r="N144" s="53">
        <f t="shared" si="36"/>
        <v>151154.79731276794</v>
      </c>
      <c r="O144" s="53">
        <f t="shared" si="36"/>
        <v>851830.73875015264</v>
      </c>
      <c r="P144" s="53">
        <f t="shared" si="36"/>
        <v>1831265.7047422533</v>
      </c>
      <c r="Q144" s="53">
        <f t="shared" si="36"/>
        <v>2819650.8267598907</v>
      </c>
      <c r="R144" s="53">
        <f t="shared" si="36"/>
        <v>4111865.5631866949</v>
      </c>
      <c r="S144" s="53">
        <f t="shared" si="36"/>
        <v>5266556.1865757881</v>
      </c>
      <c r="T144" s="53">
        <f t="shared" si="31"/>
        <v>14254886.72670795</v>
      </c>
    </row>
    <row r="145" spans="1:23" ht="15.95" thickBot="1">
      <c r="A145" s="16" t="s">
        <v>188</v>
      </c>
      <c r="B145" s="17">
        <f>SUM(B146:B150)</f>
        <v>81680</v>
      </c>
      <c r="C145" s="17">
        <f t="shared" ref="C145:S145" si="37">SUM(C146:C150)</f>
        <v>75000</v>
      </c>
      <c r="D145" s="17">
        <f t="shared" si="37"/>
        <v>140000</v>
      </c>
      <c r="E145" s="17">
        <f t="shared" si="37"/>
        <v>115000</v>
      </c>
      <c r="F145" s="17">
        <f t="shared" si="37"/>
        <v>193005.41</v>
      </c>
      <c r="G145" s="17">
        <f t="shared" si="37"/>
        <v>230000.76</v>
      </c>
      <c r="H145" s="17">
        <f t="shared" si="37"/>
        <v>205494.02</v>
      </c>
      <c r="I145" s="17">
        <f t="shared" si="37"/>
        <v>321177.43</v>
      </c>
      <c r="J145" s="17">
        <f t="shared" si="37"/>
        <v>235000</v>
      </c>
      <c r="K145" s="17">
        <f t="shared" si="37"/>
        <v>100000</v>
      </c>
      <c r="L145" s="17">
        <f t="shared" si="37"/>
        <v>40000</v>
      </c>
      <c r="M145" s="17">
        <f t="shared" si="37"/>
        <v>0</v>
      </c>
      <c r="N145" s="17">
        <f t="shared" si="37"/>
        <v>0</v>
      </c>
      <c r="O145" s="17">
        <f t="shared" si="37"/>
        <v>0</v>
      </c>
      <c r="P145" s="17">
        <f t="shared" si="37"/>
        <v>0</v>
      </c>
      <c r="Q145" s="17">
        <f t="shared" si="37"/>
        <v>0</v>
      </c>
      <c r="R145" s="17">
        <f t="shared" si="37"/>
        <v>0</v>
      </c>
      <c r="S145" s="17">
        <f t="shared" si="37"/>
        <v>33836201.484632969</v>
      </c>
      <c r="T145" s="17">
        <f t="shared" si="31"/>
        <v>34737872.934632972</v>
      </c>
      <c r="V145" s="14"/>
      <c r="W145" s="15"/>
    </row>
    <row r="146" spans="1:23" s="3" customFormat="1" outlineLevel="1">
      <c r="A146" s="156" t="s">
        <v>189</v>
      </c>
      <c r="B146" s="157">
        <v>75000</v>
      </c>
      <c r="C146" s="157">
        <v>75000</v>
      </c>
      <c r="D146" s="157">
        <v>75000</v>
      </c>
      <c r="E146" s="157">
        <v>115000</v>
      </c>
      <c r="F146" s="157">
        <v>80000</v>
      </c>
      <c r="G146" s="157">
        <v>100000</v>
      </c>
      <c r="H146" s="157">
        <v>30000</v>
      </c>
      <c r="I146" s="157">
        <v>200000</v>
      </c>
      <c r="J146" s="37">
        <v>200000</v>
      </c>
      <c r="K146" s="37"/>
      <c r="L146" s="37"/>
      <c r="M146" s="37"/>
      <c r="N146" s="37"/>
      <c r="O146" s="37"/>
      <c r="P146" s="37"/>
      <c r="Q146" s="37"/>
      <c r="R146" s="37"/>
      <c r="S146" s="37">
        <f>R3*10%</f>
        <v>33836201.484632969</v>
      </c>
      <c r="T146" s="33">
        <f t="shared" ref="T146:T161" si="38">SUM(H146:S146)</f>
        <v>34266201.484632969</v>
      </c>
    </row>
    <row r="147" spans="1:23" s="3" customFormat="1" outlineLevel="1">
      <c r="A147" s="156" t="s">
        <v>190</v>
      </c>
      <c r="B147" s="157">
        <v>6680</v>
      </c>
      <c r="C147" s="156"/>
      <c r="D147" s="157">
        <v>65000</v>
      </c>
      <c r="E147" s="156"/>
      <c r="F147" s="157">
        <v>113000</v>
      </c>
      <c r="G147" s="156"/>
      <c r="H147" s="157">
        <v>80000</v>
      </c>
      <c r="I147" s="156">
        <f>2500+20000+65000+25000+4825.79</f>
        <v>117325.79</v>
      </c>
      <c r="J147" s="37">
        <v>35000</v>
      </c>
      <c r="K147" s="37">
        <v>100000</v>
      </c>
      <c r="L147" s="148">
        <v>40000</v>
      </c>
      <c r="M147" s="37"/>
      <c r="N147" s="37"/>
      <c r="O147" s="37"/>
      <c r="P147" s="37"/>
      <c r="Q147" s="37"/>
      <c r="R147" s="37"/>
      <c r="S147" s="37"/>
      <c r="T147" s="33">
        <f t="shared" si="38"/>
        <v>372325.79</v>
      </c>
    </row>
    <row r="148" spans="1:23" s="3" customFormat="1" outlineLevel="1">
      <c r="A148" s="156" t="s">
        <v>191</v>
      </c>
      <c r="B148" s="156"/>
      <c r="C148" s="156"/>
      <c r="D148" s="156"/>
      <c r="E148" s="156"/>
      <c r="F148" s="156"/>
      <c r="G148" s="157">
        <v>130000</v>
      </c>
      <c r="H148" s="157">
        <v>90000</v>
      </c>
      <c r="I148" s="156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3">
        <f t="shared" si="38"/>
        <v>90000</v>
      </c>
    </row>
    <row r="149" spans="1:23" s="3" customFormat="1" outlineLevel="1">
      <c r="A149" s="156" t="s">
        <v>192</v>
      </c>
      <c r="B149" s="156"/>
      <c r="C149" s="156"/>
      <c r="D149" s="156"/>
      <c r="E149" s="156"/>
      <c r="F149" s="156"/>
      <c r="G149" s="156"/>
      <c r="H149" s="157">
        <v>5491.33</v>
      </c>
      <c r="I149" s="156">
        <f>950.85+2900.65</f>
        <v>3851.5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3"/>
    </row>
    <row r="150" spans="1:23" s="3" customFormat="1" ht="15.95" outlineLevel="1" thickBot="1">
      <c r="A150" s="156" t="s">
        <v>193</v>
      </c>
      <c r="B150" s="156"/>
      <c r="C150" s="156"/>
      <c r="D150" s="156"/>
      <c r="E150" s="156"/>
      <c r="F150" s="156">
        <v>5.41</v>
      </c>
      <c r="G150" s="156">
        <v>0.76</v>
      </c>
      <c r="H150" s="156">
        <v>2.69</v>
      </c>
      <c r="I150" s="156">
        <f>0.12+0.02</f>
        <v>0.13999999999999999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3">
        <f t="shared" si="38"/>
        <v>2.83</v>
      </c>
    </row>
    <row r="151" spans="1:23" ht="15.95" thickBot="1">
      <c r="A151" s="19" t="s">
        <v>194</v>
      </c>
      <c r="B151" s="20">
        <f>SUM(B152:B157)</f>
        <v>0</v>
      </c>
      <c r="C151" s="20">
        <f t="shared" ref="C151:S151" si="39">SUM(C152:C157)</f>
        <v>0</v>
      </c>
      <c r="D151" s="20">
        <f t="shared" si="39"/>
        <v>452.84</v>
      </c>
      <c r="E151" s="20">
        <f t="shared" si="39"/>
        <v>242.04</v>
      </c>
      <c r="F151" s="20">
        <f t="shared" si="39"/>
        <v>0</v>
      </c>
      <c r="G151" s="20">
        <f t="shared" si="39"/>
        <v>206.46</v>
      </c>
      <c r="H151" s="20">
        <f t="shared" si="39"/>
        <v>5475.64</v>
      </c>
      <c r="I151" s="20">
        <f t="shared" si="39"/>
        <v>112819.74</v>
      </c>
      <c r="J151" s="20">
        <f t="shared" ref="J151:O151" si="40">SUM(J152:J157)</f>
        <v>14801.1</v>
      </c>
      <c r="K151" s="20">
        <f t="shared" si="40"/>
        <v>14500</v>
      </c>
      <c r="L151" s="20">
        <f t="shared" si="40"/>
        <v>14500</v>
      </c>
      <c r="M151" s="20">
        <f t="shared" si="40"/>
        <v>14500</v>
      </c>
      <c r="N151" s="20">
        <f t="shared" si="40"/>
        <v>14500</v>
      </c>
      <c r="O151" s="20">
        <f t="shared" si="40"/>
        <v>14500</v>
      </c>
      <c r="P151" s="20">
        <f t="shared" si="39"/>
        <v>14500</v>
      </c>
      <c r="Q151" s="20">
        <f t="shared" si="39"/>
        <v>228018.88616666666</v>
      </c>
      <c r="R151" s="20">
        <f t="shared" si="39"/>
        <v>228018.88616666666</v>
      </c>
      <c r="S151" s="20">
        <f t="shared" si="39"/>
        <v>228018.88616666666</v>
      </c>
      <c r="T151" s="20">
        <f t="shared" si="38"/>
        <v>904153.1385</v>
      </c>
      <c r="V151" s="14"/>
      <c r="W151" s="15"/>
    </row>
    <row r="152" spans="1:23" s="3" customFormat="1" outlineLevel="1">
      <c r="A152" s="156" t="s">
        <v>195</v>
      </c>
      <c r="B152" s="156"/>
      <c r="C152" s="158"/>
      <c r="D152" s="158">
        <v>452.84</v>
      </c>
      <c r="E152" s="158"/>
      <c r="F152" s="158"/>
      <c r="G152" s="158"/>
      <c r="H152" s="158"/>
      <c r="I152" s="159">
        <f>112500</f>
        <v>112500</v>
      </c>
      <c r="J152" s="38"/>
      <c r="K152" s="38"/>
      <c r="L152" s="38"/>
      <c r="M152" s="38"/>
      <c r="N152" s="38"/>
      <c r="O152" s="38"/>
      <c r="P152" s="38"/>
      <c r="Q152" s="38">
        <f>((SUM($B$147:$S$147)/3)*1.15)</f>
        <v>213518.88616666666</v>
      </c>
      <c r="R152" s="38">
        <f>((SUM($B$147:$S$147)/3)*1.15)</f>
        <v>213518.88616666666</v>
      </c>
      <c r="S152" s="38">
        <f>((SUM($B$147:$S$147)/3)*1.15)</f>
        <v>213518.88616666666</v>
      </c>
      <c r="T152" s="33">
        <f t="shared" si="38"/>
        <v>753056.6584999999</v>
      </c>
    </row>
    <row r="153" spans="1:23" s="3" customFormat="1" outlineLevel="1">
      <c r="A153" s="156" t="s">
        <v>196</v>
      </c>
      <c r="B153" s="156"/>
      <c r="C153" s="158"/>
      <c r="D153" s="158"/>
      <c r="E153" s="158"/>
      <c r="F153" s="158"/>
      <c r="G153" s="158"/>
      <c r="H153" s="158"/>
      <c r="I153" s="158"/>
      <c r="J153" s="38">
        <v>14500</v>
      </c>
      <c r="K153" s="38">
        <v>14500</v>
      </c>
      <c r="L153" s="38">
        <v>14500</v>
      </c>
      <c r="M153" s="38">
        <v>14500</v>
      </c>
      <c r="N153" s="38">
        <v>14500</v>
      </c>
      <c r="O153" s="38">
        <v>14500</v>
      </c>
      <c r="P153" s="38">
        <v>14500</v>
      </c>
      <c r="Q153" s="38">
        <v>14500</v>
      </c>
      <c r="R153" s="38">
        <v>14500</v>
      </c>
      <c r="S153" s="38">
        <v>14500</v>
      </c>
      <c r="T153" s="33"/>
    </row>
    <row r="154" spans="1:23" s="3" customFormat="1" outlineLevel="1">
      <c r="A154" s="156" t="s">
        <v>197</v>
      </c>
      <c r="B154" s="158"/>
      <c r="C154" s="158"/>
      <c r="D154" s="158"/>
      <c r="E154" s="158"/>
      <c r="F154" s="158"/>
      <c r="G154" s="158"/>
      <c r="H154" s="158">
        <v>50</v>
      </c>
      <c r="I154" s="15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3"/>
    </row>
    <row r="155" spans="1:23" s="3" customFormat="1" outlineLevel="1">
      <c r="A155" s="156" t="s">
        <v>198</v>
      </c>
      <c r="B155" s="158"/>
      <c r="C155" s="158"/>
      <c r="D155" s="158"/>
      <c r="E155" s="158"/>
      <c r="F155" s="158"/>
      <c r="G155" s="158">
        <v>206.46</v>
      </c>
      <c r="H155" s="158">
        <v>134.68</v>
      </c>
      <c r="I155" s="158">
        <v>63.99</v>
      </c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3"/>
    </row>
    <row r="156" spans="1:23" s="3" customFormat="1" outlineLevel="1">
      <c r="A156" s="156" t="s">
        <v>199</v>
      </c>
      <c r="B156" s="158"/>
      <c r="C156" s="158"/>
      <c r="D156" s="158"/>
      <c r="E156" s="158"/>
      <c r="F156" s="158"/>
      <c r="G156" s="158"/>
      <c r="H156" s="158">
        <v>115.03</v>
      </c>
      <c r="I156" s="158">
        <v>243.58</v>
      </c>
      <c r="J156" s="3">
        <f>41.07+6.83+14.47+14.47+10.38+9.43+20.69+183.76</f>
        <v>301.10000000000002</v>
      </c>
      <c r="T156" s="33">
        <f t="shared" si="38"/>
        <v>659.71</v>
      </c>
    </row>
    <row r="157" spans="1:23" s="3" customFormat="1" ht="15.95" outlineLevel="1" thickBot="1">
      <c r="A157" s="156" t="s">
        <v>200</v>
      </c>
      <c r="B157" s="158"/>
      <c r="C157" s="158"/>
      <c r="D157" s="158"/>
      <c r="E157" s="158">
        <v>242.04</v>
      </c>
      <c r="F157" s="158"/>
      <c r="G157" s="158"/>
      <c r="H157" s="159">
        <v>5175.93</v>
      </c>
      <c r="I157" s="158">
        <v>12.17</v>
      </c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3">
        <f t="shared" si="38"/>
        <v>5188.1000000000004</v>
      </c>
    </row>
    <row r="158" spans="1:23" ht="15.95" thickBot="1">
      <c r="A158" s="19" t="s">
        <v>201</v>
      </c>
      <c r="B158" s="20">
        <f>SUM(B159:B161)</f>
        <v>0</v>
      </c>
      <c r="C158" s="20">
        <f t="shared" ref="C158:S158" si="41">SUM(C159:C161)</f>
        <v>0</v>
      </c>
      <c r="D158" s="20">
        <f t="shared" si="41"/>
        <v>94000</v>
      </c>
      <c r="E158" s="20">
        <f t="shared" si="41"/>
        <v>0</v>
      </c>
      <c r="F158" s="20">
        <f t="shared" si="41"/>
        <v>181.34</v>
      </c>
      <c r="G158" s="20">
        <f t="shared" si="41"/>
        <v>0</v>
      </c>
      <c r="H158" s="20">
        <f t="shared" si="41"/>
        <v>3562.4700000000003</v>
      </c>
      <c r="I158" s="20">
        <f t="shared" si="41"/>
        <v>0</v>
      </c>
      <c r="J158" s="20">
        <f t="shared" si="41"/>
        <v>90.67</v>
      </c>
      <c r="K158" s="20">
        <f t="shared" si="41"/>
        <v>0</v>
      </c>
      <c r="L158" s="20">
        <f t="shared" si="41"/>
        <v>0</v>
      </c>
      <c r="M158" s="20">
        <f t="shared" si="41"/>
        <v>0</v>
      </c>
      <c r="N158" s="20">
        <f t="shared" si="41"/>
        <v>0</v>
      </c>
      <c r="O158" s="20">
        <f t="shared" si="41"/>
        <v>0</v>
      </c>
      <c r="P158" s="20">
        <f t="shared" si="41"/>
        <v>0</v>
      </c>
      <c r="Q158" s="20">
        <f t="shared" si="41"/>
        <v>0</v>
      </c>
      <c r="R158" s="20">
        <f t="shared" si="41"/>
        <v>0</v>
      </c>
      <c r="S158" s="20">
        <f t="shared" si="41"/>
        <v>0</v>
      </c>
      <c r="T158" s="20">
        <f t="shared" si="38"/>
        <v>3653.1400000000003</v>
      </c>
      <c r="V158" s="14"/>
      <c r="W158" s="15"/>
    </row>
    <row r="159" spans="1:23" s="3" customFormat="1" outlineLevel="1">
      <c r="A159" s="156" t="s">
        <v>202</v>
      </c>
      <c r="B159" s="158"/>
      <c r="C159" s="158"/>
      <c r="D159" s="159">
        <v>94000</v>
      </c>
      <c r="E159" s="158"/>
      <c r="F159" s="158"/>
      <c r="G159" s="158"/>
      <c r="H159" s="159">
        <v>1720.47</v>
      </c>
      <c r="I159" s="15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3">
        <f t="shared" si="38"/>
        <v>1720.47</v>
      </c>
    </row>
    <row r="160" spans="1:23" s="3" customFormat="1" outlineLevel="1">
      <c r="A160" s="156" t="s">
        <v>203</v>
      </c>
      <c r="B160" s="158"/>
      <c r="C160" s="158"/>
      <c r="D160" s="158"/>
      <c r="E160" s="158"/>
      <c r="F160" s="158">
        <v>181.34</v>
      </c>
      <c r="G160" s="158"/>
      <c r="H160" s="159">
        <v>1842</v>
      </c>
      <c r="I160" s="158"/>
      <c r="J160" s="38">
        <v>90.67</v>
      </c>
      <c r="K160" s="38"/>
      <c r="L160" s="38"/>
      <c r="M160" s="38"/>
      <c r="N160" s="38"/>
      <c r="O160" s="38"/>
      <c r="P160" s="38"/>
      <c r="Q160" s="38"/>
      <c r="R160" s="38"/>
      <c r="S160" s="38"/>
      <c r="T160" s="33">
        <f t="shared" si="38"/>
        <v>1932.67</v>
      </c>
    </row>
    <row r="161" spans="1:23" ht="15.95" outlineLevel="1" thickBot="1">
      <c r="A161" s="156" t="s">
        <v>204</v>
      </c>
      <c r="B161" s="156"/>
      <c r="C161" s="156"/>
      <c r="D161" s="156"/>
      <c r="E161" s="156"/>
      <c r="F161" s="156"/>
      <c r="G161" s="156"/>
      <c r="H161" s="156"/>
      <c r="I161" s="156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3">
        <f t="shared" si="38"/>
        <v>0</v>
      </c>
    </row>
    <row r="162" spans="1:23">
      <c r="A162" s="29" t="s">
        <v>205</v>
      </c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12"/>
      <c r="V162" s="14"/>
      <c r="W162" s="15"/>
    </row>
    <row r="163" spans="1:23">
      <c r="A163" s="10" t="s">
        <v>206</v>
      </c>
      <c r="B163" s="11">
        <v>0</v>
      </c>
      <c r="C163" s="11">
        <f>B167</f>
        <v>81680</v>
      </c>
      <c r="D163" s="11">
        <f t="shared" ref="D163:S163" si="42">C167</f>
        <v>152792.66999999998</v>
      </c>
      <c r="E163" s="11">
        <f t="shared" si="42"/>
        <v>124970.9</v>
      </c>
      <c r="F163" s="11">
        <f t="shared" si="42"/>
        <v>73852.039999999979</v>
      </c>
      <c r="G163" s="160">
        <v>10253.219999999999</v>
      </c>
      <c r="H163" s="46">
        <f t="shared" si="42"/>
        <v>28716.850000000028</v>
      </c>
      <c r="I163" s="11">
        <v>2216.85</v>
      </c>
      <c r="J163" s="11">
        <f t="shared" si="42"/>
        <v>-4936.6299999999956</v>
      </c>
      <c r="K163" s="11">
        <f t="shared" si="42"/>
        <v>3088.6900000000005</v>
      </c>
      <c r="L163" s="11">
        <f t="shared" si="42"/>
        <v>-33933.755738679305</v>
      </c>
      <c r="M163" s="11">
        <f t="shared" si="42"/>
        <v>-50513.801864450827</v>
      </c>
      <c r="N163" s="11">
        <f t="shared" si="42"/>
        <v>-11316.526919841192</v>
      </c>
      <c r="O163" s="11">
        <f>N167</f>
        <v>152999.28284034983</v>
      </c>
      <c r="P163" s="11">
        <f t="shared" si="42"/>
        <v>1055619.8524188516</v>
      </c>
      <c r="Q163" s="11">
        <f t="shared" si="42"/>
        <v>3020820.2661326728</v>
      </c>
      <c r="R163" s="11">
        <f t="shared" si="42"/>
        <v>5901789.0637117643</v>
      </c>
      <c r="S163" s="11">
        <f t="shared" si="42"/>
        <v>10278084.038937369</v>
      </c>
      <c r="T163" s="12"/>
    </row>
    <row r="164" spans="1:23">
      <c r="A164" s="10" t="s">
        <v>207</v>
      </c>
      <c r="B164" s="11">
        <f>B144+B145-B151-B158</f>
        <v>81680</v>
      </c>
      <c r="C164" s="11">
        <f t="shared" ref="C164:S164" si="43">C144+C145-C151-C158</f>
        <v>71112.67</v>
      </c>
      <c r="D164" s="11">
        <f t="shared" si="43"/>
        <v>-27821.76999999999</v>
      </c>
      <c r="E164" s="11">
        <f t="shared" si="43"/>
        <v>-51118.860000000008</v>
      </c>
      <c r="F164" s="11">
        <f t="shared" si="43"/>
        <v>-24331.750000000004</v>
      </c>
      <c r="G164" s="11">
        <f t="shared" si="43"/>
        <v>18463.630000000026</v>
      </c>
      <c r="H164" s="11">
        <f t="shared" si="43"/>
        <v>-26228.400000000009</v>
      </c>
      <c r="I164" s="11">
        <f t="shared" si="43"/>
        <v>-7153.4799999999959</v>
      </c>
      <c r="J164" s="11">
        <f t="shared" si="43"/>
        <v>8025.3199999999961</v>
      </c>
      <c r="K164" s="11">
        <f t="shared" si="43"/>
        <v>-37022.445738679307</v>
      </c>
      <c r="L164" s="11">
        <f t="shared" si="43"/>
        <v>-20772.025838837551</v>
      </c>
      <c r="M164" s="11">
        <f t="shared" si="43"/>
        <v>27135.770957917557</v>
      </c>
      <c r="N164" s="11">
        <f t="shared" si="43"/>
        <v>136654.79731276794</v>
      </c>
      <c r="O164" s="11">
        <f t="shared" si="43"/>
        <v>837330.73875015264</v>
      </c>
      <c r="P164" s="11">
        <f t="shared" si="43"/>
        <v>1816765.7047422533</v>
      </c>
      <c r="Q164" s="11">
        <f t="shared" si="43"/>
        <v>2591631.940593224</v>
      </c>
      <c r="R164" s="11">
        <f t="shared" si="43"/>
        <v>3883846.6770200282</v>
      </c>
      <c r="S164" s="11">
        <f t="shared" si="43"/>
        <v>38874738.785042085</v>
      </c>
      <c r="T164" s="12"/>
    </row>
    <row r="165" spans="1:23">
      <c r="A165" s="10" t="s">
        <v>208</v>
      </c>
      <c r="B165" s="11">
        <f t="shared" ref="B165:S165" si="44">B4*0.05</f>
        <v>0</v>
      </c>
      <c r="C165" s="11">
        <f t="shared" si="44"/>
        <v>0</v>
      </c>
      <c r="D165" s="11">
        <f t="shared" si="44"/>
        <v>0</v>
      </c>
      <c r="E165" s="11">
        <f t="shared" si="44"/>
        <v>0</v>
      </c>
      <c r="F165" s="11">
        <f t="shared" si="44"/>
        <v>0</v>
      </c>
      <c r="G165" s="11">
        <f t="shared" si="44"/>
        <v>0</v>
      </c>
      <c r="H165" s="11">
        <f t="shared" si="44"/>
        <v>0</v>
      </c>
      <c r="I165" s="11">
        <f t="shared" si="44"/>
        <v>0</v>
      </c>
      <c r="J165" s="11">
        <f t="shared" si="44"/>
        <v>0</v>
      </c>
      <c r="K165" s="11">
        <f t="shared" si="44"/>
        <v>4191.9797130660336</v>
      </c>
      <c r="L165" s="11">
        <f t="shared" si="44"/>
        <v>7869.5242736260452</v>
      </c>
      <c r="M165" s="11">
        <f t="shared" si="44"/>
        <v>15599.508460731005</v>
      </c>
      <c r="N165" s="11">
        <f t="shared" si="44"/>
        <v>37628.818380926117</v>
      </c>
      <c r="O165" s="11">
        <f t="shared" si="44"/>
        <v>83144.878143218768</v>
      </c>
      <c r="P165" s="11">
        <f t="shared" si="44"/>
        <v>140902.14801429893</v>
      </c>
      <c r="Q165" s="11">
        <f t="shared" si="44"/>
        <v>203111.4412197104</v>
      </c>
      <c r="R165" s="11">
        <f t="shared" si="44"/>
        <v>279958.81729169999</v>
      </c>
      <c r="S165" s="11">
        <f t="shared" si="44"/>
        <v>352460.43213159341</v>
      </c>
      <c r="T165" s="12"/>
    </row>
    <row r="166" spans="1:23" ht="15.95" thickBot="1">
      <c r="A166" s="10" t="s">
        <v>209</v>
      </c>
      <c r="B166" s="11">
        <f>B165</f>
        <v>0</v>
      </c>
      <c r="C166" s="11">
        <f>B166+C165</f>
        <v>0</v>
      </c>
      <c r="D166" s="11">
        <f t="shared" ref="D166:S166" si="45">C166+D165</f>
        <v>0</v>
      </c>
      <c r="E166" s="11">
        <f t="shared" si="45"/>
        <v>0</v>
      </c>
      <c r="F166" s="11">
        <f t="shared" si="45"/>
        <v>0</v>
      </c>
      <c r="G166" s="11">
        <f t="shared" si="45"/>
        <v>0</v>
      </c>
      <c r="H166" s="11">
        <f t="shared" si="45"/>
        <v>0</v>
      </c>
      <c r="I166" s="11">
        <f t="shared" si="45"/>
        <v>0</v>
      </c>
      <c r="J166" s="11">
        <f t="shared" si="45"/>
        <v>0</v>
      </c>
      <c r="K166" s="11">
        <f t="shared" si="45"/>
        <v>4191.9797130660336</v>
      </c>
      <c r="L166" s="11">
        <f t="shared" si="45"/>
        <v>12061.503986692078</v>
      </c>
      <c r="M166" s="11">
        <f t="shared" si="45"/>
        <v>27661.012447423083</v>
      </c>
      <c r="N166" s="11">
        <f t="shared" si="45"/>
        <v>65289.830828349201</v>
      </c>
      <c r="O166" s="11">
        <f>N166+O165</f>
        <v>148434.70897156798</v>
      </c>
      <c r="P166" s="11">
        <f t="shared" si="45"/>
        <v>289336.85698586691</v>
      </c>
      <c r="Q166" s="11">
        <f t="shared" si="45"/>
        <v>492448.2982055773</v>
      </c>
      <c r="R166" s="11">
        <f t="shared" si="45"/>
        <v>772407.11549727735</v>
      </c>
      <c r="S166" s="11">
        <f t="shared" si="45"/>
        <v>1124867.5476288707</v>
      </c>
      <c r="T166" s="12"/>
    </row>
    <row r="167" spans="1:23" ht="17.100000000000001" thickBot="1">
      <c r="A167" s="48" t="s">
        <v>210</v>
      </c>
      <c r="B167" s="49">
        <f>B163+B164</f>
        <v>81680</v>
      </c>
      <c r="C167" s="49">
        <f t="shared" ref="C167:J167" si="46">C163+C164+B166</f>
        <v>152792.66999999998</v>
      </c>
      <c r="D167" s="49">
        <f t="shared" si="46"/>
        <v>124970.9</v>
      </c>
      <c r="E167" s="49">
        <f t="shared" si="46"/>
        <v>73852.039999999979</v>
      </c>
      <c r="F167" s="49">
        <f t="shared" si="46"/>
        <v>49520.289999999979</v>
      </c>
      <c r="G167" s="49">
        <f t="shared" si="46"/>
        <v>28716.850000000028</v>
      </c>
      <c r="H167" s="49">
        <f>H163+H164+G166</f>
        <v>2488.4500000000189</v>
      </c>
      <c r="I167" s="49">
        <f t="shared" si="46"/>
        <v>-4936.6299999999956</v>
      </c>
      <c r="J167" s="49">
        <f t="shared" si="46"/>
        <v>3088.6900000000005</v>
      </c>
      <c r="K167" s="49">
        <f t="shared" ref="K167:S167" si="47">K163+K164+J166</f>
        <v>-33933.755738679305</v>
      </c>
      <c r="L167" s="49">
        <f t="shared" si="47"/>
        <v>-50513.801864450827</v>
      </c>
      <c r="M167" s="49">
        <f t="shared" si="47"/>
        <v>-11316.526919841192</v>
      </c>
      <c r="N167" s="49">
        <f t="shared" si="47"/>
        <v>152999.28284034983</v>
      </c>
      <c r="O167" s="49">
        <f>O163+O164+N166</f>
        <v>1055619.8524188516</v>
      </c>
      <c r="P167" s="49">
        <f t="shared" si="47"/>
        <v>3020820.2661326728</v>
      </c>
      <c r="Q167" s="49">
        <f t="shared" si="47"/>
        <v>5901789.0637117643</v>
      </c>
      <c r="R167" s="49">
        <f t="shared" si="47"/>
        <v>10278084.038937369</v>
      </c>
      <c r="S167" s="49">
        <f t="shared" si="47"/>
        <v>49925229.939476728</v>
      </c>
      <c r="T167" s="26"/>
    </row>
    <row r="168" spans="1:23" ht="17.100000000000001" thickBot="1">
      <c r="A168" s="27" t="s">
        <v>211</v>
      </c>
      <c r="B168" s="28">
        <f>B167-B165</f>
        <v>81680</v>
      </c>
      <c r="C168" s="28">
        <f t="shared" ref="C168:S168" si="48">C167-C165</f>
        <v>152792.66999999998</v>
      </c>
      <c r="D168" s="28">
        <f t="shared" si="48"/>
        <v>124970.9</v>
      </c>
      <c r="E168" s="28">
        <f t="shared" si="48"/>
        <v>73852.039999999979</v>
      </c>
      <c r="F168" s="28">
        <f t="shared" si="48"/>
        <v>49520.289999999979</v>
      </c>
      <c r="G168" s="28">
        <f t="shared" si="48"/>
        <v>28716.850000000028</v>
      </c>
      <c r="H168" s="28">
        <f>H167-H165</f>
        <v>2488.4500000000189</v>
      </c>
      <c r="I168" s="28">
        <f t="shared" si="48"/>
        <v>-4936.6299999999956</v>
      </c>
      <c r="J168" s="28">
        <f t="shared" si="48"/>
        <v>3088.6900000000005</v>
      </c>
      <c r="K168" s="28">
        <f t="shared" si="48"/>
        <v>-38125.735451745335</v>
      </c>
      <c r="L168" s="28">
        <f t="shared" si="48"/>
        <v>-58383.326138076874</v>
      </c>
      <c r="M168" s="28">
        <f t="shared" si="48"/>
        <v>-26916.035380572197</v>
      </c>
      <c r="N168" s="28">
        <f t="shared" si="48"/>
        <v>115370.4644594237</v>
      </c>
      <c r="O168" s="28">
        <f t="shared" si="48"/>
        <v>972474.97427563276</v>
      </c>
      <c r="P168" s="28">
        <f t="shared" si="48"/>
        <v>2879918.1181183737</v>
      </c>
      <c r="Q168" s="28">
        <f t="shared" si="48"/>
        <v>5698677.6224920535</v>
      </c>
      <c r="R168" s="28">
        <f>R167-R165</f>
        <v>9998125.22164567</v>
      </c>
      <c r="S168" s="28">
        <f t="shared" si="48"/>
        <v>49572769.507345133</v>
      </c>
      <c r="T168" s="26"/>
    </row>
    <row r="169" spans="1:23" ht="17.100000000000001" thickBot="1">
      <c r="A169" s="27" t="s">
        <v>212</v>
      </c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>
        <f>IF(S167&gt;=1000000,S167*0.2,"0")</f>
        <v>9985045.9878953453</v>
      </c>
      <c r="T169" s="26"/>
    </row>
    <row r="170" spans="1:23">
      <c r="I170" s="39">
        <f>I138+I135+I123+I100+I97+I96+I94+I65+I59+I39+I110</f>
        <v>5680.68</v>
      </c>
    </row>
  </sheetData>
  <mergeCells count="4">
    <mergeCell ref="B1:E1"/>
    <mergeCell ref="F1:G1"/>
    <mergeCell ref="H1:K1"/>
    <mergeCell ref="L1:S1"/>
  </mergeCells>
  <pageMargins left="0.75" right="0.75" top="1" bottom="1" header="0.5" footer="0.5"/>
  <ignoredErrors>
    <ignoredError sqref="T133:T139 T118:T130" formulaRange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574A-1703-BA4E-BE42-963B3B34F81D}">
  <sheetPr>
    <tabColor theme="6"/>
  </sheetPr>
  <dimension ref="A1:AK100"/>
  <sheetViews>
    <sheetView topLeftCell="A62" zoomScale="130" zoomScaleNormal="130" workbookViewId="0">
      <pane xSplit="1" topLeftCell="R35" activePane="topRight" state="frozen"/>
      <selection pane="topRight" activeCell="AE68" sqref="AE68"/>
      <selection activeCell="A47" sqref="A47"/>
    </sheetView>
  </sheetViews>
  <sheetFormatPr defaultColWidth="8.85546875" defaultRowHeight="15"/>
  <cols>
    <col min="1" max="1" width="9.42578125" bestFit="1" customWidth="1"/>
    <col min="2" max="2" width="26.28515625" bestFit="1" customWidth="1"/>
    <col min="3" max="3" width="17.7109375" bestFit="1" customWidth="1"/>
    <col min="4" max="4" width="20" customWidth="1"/>
    <col min="5" max="5" width="17.42578125" customWidth="1"/>
    <col min="6" max="6" width="17.7109375" style="88" bestFit="1" customWidth="1"/>
    <col min="7" max="7" width="15" bestFit="1" customWidth="1"/>
    <col min="8" max="8" width="18.42578125" bestFit="1" customWidth="1"/>
    <col min="9" max="9" width="17.28515625" bestFit="1" customWidth="1"/>
    <col min="10" max="10" width="16.140625" customWidth="1"/>
    <col min="11" max="11" width="16.85546875" bestFit="1" customWidth="1"/>
    <col min="12" max="12" width="17" bestFit="1" customWidth="1"/>
    <col min="13" max="13" width="13.42578125" bestFit="1" customWidth="1"/>
    <col min="14" max="14" width="17" bestFit="1" customWidth="1"/>
    <col min="15" max="15" width="16" bestFit="1" customWidth="1"/>
    <col min="16" max="16" width="17.85546875" customWidth="1"/>
    <col min="17" max="17" width="27.7109375" customWidth="1"/>
    <col min="18" max="18" width="17.140625" customWidth="1"/>
    <col min="19" max="19" width="16.140625" bestFit="1" customWidth="1"/>
    <col min="20" max="20" width="18" bestFit="1" customWidth="1"/>
    <col min="21" max="21" width="16" bestFit="1" customWidth="1"/>
    <col min="22" max="22" width="18.7109375" customWidth="1"/>
    <col min="23" max="23" width="23.140625" customWidth="1"/>
    <col min="24" max="24" width="19.85546875" bestFit="1" customWidth="1"/>
    <col min="25" max="25" width="17.140625" bestFit="1" customWidth="1"/>
    <col min="26" max="26" width="22.42578125" customWidth="1"/>
    <col min="27" max="27" width="17.28515625" bestFit="1" customWidth="1"/>
    <col min="28" max="28" width="18" customWidth="1"/>
    <col min="29" max="29" width="17.28515625" bestFit="1" customWidth="1"/>
    <col min="30" max="30" width="19.85546875" bestFit="1" customWidth="1"/>
    <col min="31" max="31" width="21" bestFit="1" customWidth="1"/>
    <col min="32" max="32" width="24" customWidth="1"/>
    <col min="33" max="33" width="17.28515625" bestFit="1" customWidth="1"/>
    <col min="34" max="34" width="16.28515625" bestFit="1" customWidth="1"/>
    <col min="35" max="35" width="13.42578125" bestFit="1" customWidth="1"/>
    <col min="36" max="36" width="18" bestFit="1" customWidth="1"/>
    <col min="37" max="37" width="22.7109375" customWidth="1"/>
    <col min="38" max="38" width="8.85546875" bestFit="1" customWidth="1"/>
    <col min="39" max="39" width="13.140625" customWidth="1"/>
    <col min="40" max="40" width="14.42578125" customWidth="1"/>
  </cols>
  <sheetData>
    <row r="1" spans="1:34">
      <c r="C1" s="185" t="s">
        <v>213</v>
      </c>
      <c r="D1" s="185"/>
      <c r="E1" s="186" t="s">
        <v>214</v>
      </c>
      <c r="F1" s="186"/>
      <c r="G1" s="187" t="s">
        <v>215</v>
      </c>
      <c r="H1" s="187"/>
      <c r="I1" s="186" t="s">
        <v>216</v>
      </c>
      <c r="J1" s="186"/>
      <c r="K1" s="186"/>
      <c r="L1" s="186"/>
      <c r="M1" s="186"/>
      <c r="N1" s="188" t="s">
        <v>217</v>
      </c>
      <c r="O1" s="188"/>
      <c r="P1" s="188"/>
      <c r="Q1" s="188"/>
      <c r="X1" s="184" t="s">
        <v>218</v>
      </c>
      <c r="Y1" s="184"/>
      <c r="Z1" s="184"/>
      <c r="AA1" s="184"/>
      <c r="AB1" s="184"/>
      <c r="AC1" s="184"/>
      <c r="AD1" s="184"/>
    </row>
    <row r="2" spans="1:34" s="59" customFormat="1" ht="54" customHeight="1">
      <c r="A2" s="54" t="s">
        <v>219</v>
      </c>
      <c r="B2" s="54" t="s">
        <v>220</v>
      </c>
      <c r="C2" s="55" t="s">
        <v>221</v>
      </c>
      <c r="D2" s="55" t="s">
        <v>222</v>
      </c>
      <c r="E2" s="56" t="s">
        <v>223</v>
      </c>
      <c r="F2" s="56" t="s">
        <v>224</v>
      </c>
      <c r="G2" s="57" t="s">
        <v>225</v>
      </c>
      <c r="H2" s="57" t="s">
        <v>226</v>
      </c>
      <c r="I2" s="56" t="s">
        <v>227</v>
      </c>
      <c r="J2" s="56" t="s">
        <v>228</v>
      </c>
      <c r="K2" s="56" t="s">
        <v>229</v>
      </c>
      <c r="L2" s="56" t="s">
        <v>230</v>
      </c>
      <c r="M2" s="56" t="s">
        <v>231</v>
      </c>
      <c r="N2" s="54" t="s">
        <v>232</v>
      </c>
      <c r="O2" s="54" t="s">
        <v>233</v>
      </c>
      <c r="P2" s="54" t="s">
        <v>234</v>
      </c>
      <c r="Q2" s="54" t="s">
        <v>235</v>
      </c>
      <c r="R2" s="54" t="s">
        <v>236</v>
      </c>
      <c r="S2" s="54" t="s">
        <v>237</v>
      </c>
      <c r="T2" s="54" t="s">
        <v>238</v>
      </c>
      <c r="U2" s="54" t="s">
        <v>239</v>
      </c>
      <c r="V2" s="54" t="s">
        <v>240</v>
      </c>
      <c r="W2" s="54" t="s">
        <v>241</v>
      </c>
      <c r="X2" s="55" t="s">
        <v>242</v>
      </c>
      <c r="Y2" s="55" t="s">
        <v>243</v>
      </c>
      <c r="Z2" s="55" t="s">
        <v>244</v>
      </c>
      <c r="AA2" s="55" t="s">
        <v>245</v>
      </c>
      <c r="AB2" s="55" t="s">
        <v>246</v>
      </c>
      <c r="AC2" s="55" t="s">
        <v>247</v>
      </c>
      <c r="AD2" s="55" t="s">
        <v>248</v>
      </c>
      <c r="AE2" s="58" t="s">
        <v>249</v>
      </c>
      <c r="AF2" s="58" t="s">
        <v>250</v>
      </c>
      <c r="AG2" s="54" t="s">
        <v>251</v>
      </c>
      <c r="AH2" s="54" t="s">
        <v>252</v>
      </c>
    </row>
    <row r="3" spans="1:34">
      <c r="A3" s="78">
        <v>46023</v>
      </c>
      <c r="B3" s="61">
        <f>B64*0.05</f>
        <v>1566.913</v>
      </c>
      <c r="C3" s="61">
        <f>C64</f>
        <v>12</v>
      </c>
      <c r="D3" s="62">
        <f>Table15313[[#This Row],[Investimento no Mês
 (Growth) // 5%]]/Table15313[[#This Row],[CPL - Tráfego
(cadastro)]]</f>
        <v>130.57608333333334</v>
      </c>
      <c r="E3" s="63">
        <f t="shared" ref="E3:E16" si="0">E64</f>
        <v>0.06</v>
      </c>
      <c r="F3" s="64">
        <f>Table15313[[#This Row],[Novos Cadastros 
LP]]*Table15313[[#This Row],[Tx. % Install]]</f>
        <v>7.8345650000000004</v>
      </c>
      <c r="G3" s="63">
        <f t="shared" ref="G3:G19" si="1">G64</f>
        <v>0</v>
      </c>
      <c r="H3" s="64">
        <f>Table15313[[#This Row],[Novos Installs no App]]*Table15313[[#This Row],[Tx % Ativações]]</f>
        <v>0</v>
      </c>
      <c r="I3" s="63">
        <f t="shared" ref="I3:I19" si="2">I64</f>
        <v>0.7</v>
      </c>
      <c r="J3" s="64">
        <f>J64*20%</f>
        <v>0</v>
      </c>
      <c r="K3" s="63">
        <f>K64</f>
        <v>0</v>
      </c>
      <c r="L3" s="62">
        <f>(Table15313[[#This Row],[Novos Personais Habilitados]]*Table15313[[#This Row],[Tx % de Conversão]])+(Table15313[[#This Row],[Cadastros Evento Presencial]]*Table15313[[#This Row],[Tx % Ativação Presencial]])</f>
        <v>0</v>
      </c>
      <c r="M3" s="62">
        <f>Table15313[[#This Row],[Novos Personais Ativados]]</f>
        <v>0</v>
      </c>
      <c r="N3" s="65" t="e">
        <f>Table15313[[#This Row],[Investimento no Mês
 (Growth) // 5%]]/Table15313[[#This Row],[Novos Personais Ativados]]</f>
        <v>#DIV/0!</v>
      </c>
      <c r="O3" s="66">
        <v>0</v>
      </c>
      <c r="P3" s="67">
        <f>Table15313[[#This Row],[Personais 
Totais]]*Table15313[[#This Row],[Tx. % Churn]]</f>
        <v>0</v>
      </c>
      <c r="Q3" s="62">
        <f>Table15313[[#This Row],[Personais 
Totais]]-Table15313[[#This Row],[Qtde. Churn 
no Mês]]</f>
        <v>0</v>
      </c>
      <c r="R3" s="68">
        <v>15</v>
      </c>
      <c r="S3" s="69">
        <v>0</v>
      </c>
      <c r="T3" s="70">
        <v>0</v>
      </c>
      <c r="U3" s="62">
        <f>Table15313[[#This Row],[Personais 
Ativos Mês]]+(Table15313[[#This Row],[Personais 
Ativos Mês]]*Table15313[[#This Row],[Média Alunos Estimada 
Total Personal]])</f>
        <v>0</v>
      </c>
      <c r="V3" s="71">
        <v>0</v>
      </c>
      <c r="W3" s="71">
        <f>Table15313[[#This Row],[Faturamento Estimado]]*2%</f>
        <v>0</v>
      </c>
      <c r="X3" s="72">
        <f>Table15313[[#This Row],[Média Alunos Estimada 
Total Personal]]-(Table15313[[#This Row],[Tx. % Real Alunos 
não ativados]]*Table15313[[#This Row],[Média Alunos Estimada 
Total Personal]])</f>
        <v>9.75</v>
      </c>
      <c r="Y3" s="66">
        <v>0.35</v>
      </c>
      <c r="Z3" s="14" t="e">
        <f>AB3/Q3</f>
        <v>#DIV/0!</v>
      </c>
      <c r="AA3" s="62">
        <f>Table15313[[#This Row],[Média Real Alunos 
Ativos Personal]]*Table15313[[#This Row],[Personais 
Ativos Mês]]</f>
        <v>0</v>
      </c>
      <c r="AB3" s="14">
        <v>0</v>
      </c>
      <c r="AC3" s="14">
        <v>0</v>
      </c>
      <c r="AD3" s="14">
        <f>Table15313[[#This Row],[Faturamento 
Real Bruto]]</f>
        <v>0</v>
      </c>
      <c r="AE3" s="14">
        <v>0</v>
      </c>
      <c r="AF3" s="14">
        <f>Table15313[[#This Row],[Investimento no Mês
 (Growth) // 5%]]</f>
        <v>1566.913</v>
      </c>
      <c r="AG3" s="73">
        <v>0</v>
      </c>
      <c r="AH3" s="74">
        <v>0</v>
      </c>
    </row>
    <row r="4" spans="1:34">
      <c r="A4" s="60">
        <v>46054</v>
      </c>
      <c r="B4" s="61">
        <f t="shared" ref="B4:B16" si="3">B65*0.05</f>
        <v>264.62849999999997</v>
      </c>
      <c r="C4" s="61">
        <f>C65</f>
        <v>14</v>
      </c>
      <c r="D4" s="75">
        <v>1031</v>
      </c>
      <c r="E4" s="63">
        <f t="shared" si="0"/>
        <v>0.2</v>
      </c>
      <c r="F4" s="64">
        <f>Table15313[[#This Row],[Novos Cadastros 
LP]]*Table15313[[#This Row],[Tx. % Install]]</f>
        <v>206.20000000000002</v>
      </c>
      <c r="G4" s="63">
        <f t="shared" si="1"/>
        <v>0.5</v>
      </c>
      <c r="H4" s="64">
        <f>Table15313[[#This Row],[Novos Installs no App]]*Table15313[[#This Row],[Tx % Ativações]]</f>
        <v>103.10000000000001</v>
      </c>
      <c r="I4" s="63">
        <f t="shared" si="2"/>
        <v>0.3</v>
      </c>
      <c r="J4" s="64">
        <f t="shared" ref="J4:J16" si="4">J65*20%</f>
        <v>0</v>
      </c>
      <c r="K4" s="63">
        <f t="shared" ref="K4:K16" si="5">K65</f>
        <v>0</v>
      </c>
      <c r="L4" s="62">
        <f>(Table15313[[#This Row],[Novos Personais Habilitados]]*Table15313[[#This Row],[Tx % de Conversão]])+(Table15313[[#This Row],[Cadastros Evento Presencial]]*Table15313[[#This Row],[Tx % Ativação Presencial]])</f>
        <v>30.93</v>
      </c>
      <c r="M4" s="62">
        <f>Table15313[[#This Row],[Novos Personais Ativados]]+M3</f>
        <v>30.93</v>
      </c>
      <c r="N4" s="65">
        <f>Table15313[[#This Row],[Investimento no Mês
 (Growth) // 5%]]/Table15313[[#This Row],[Novos Personais Ativados]]</f>
        <v>8.5557225994180399</v>
      </c>
      <c r="O4" s="66">
        <v>0.02</v>
      </c>
      <c r="P4" s="67">
        <f>M3*Table15313[[#This Row],[Tx. % Churn]]</f>
        <v>0</v>
      </c>
      <c r="Q4" s="62">
        <f>Table15313[[#This Row],[Personais 
Totais]]-Table15313[[#This Row],[Qtde. Churn 
no Mês]]</f>
        <v>30.93</v>
      </c>
      <c r="R4" s="68">
        <v>15</v>
      </c>
      <c r="S4" s="61">
        <v>250</v>
      </c>
      <c r="T4" s="76">
        <f>Table15313[[#This Row],[Média Alunos Estimada 
Total Personal]]*Table15313[[#This Row],[Ticket Médio Aluno Personal]]</f>
        <v>3750</v>
      </c>
      <c r="U4" s="62">
        <f>Table15313[[#This Row],[Personais 
Ativos Mês]]+(Table15313[[#This Row],[Personais 
Ativos Mês]]*Table15313[[#This Row],[Média Alunos Estimada 
Total Personal]])</f>
        <v>494.88</v>
      </c>
      <c r="V4" s="77">
        <f>Table15313[[#This Row],[Média Faturamento
Estimada Personal]]*Q3</f>
        <v>0</v>
      </c>
      <c r="W4" s="71">
        <f>Table15313[[#This Row],[Faturamento Estimado]]*2%</f>
        <v>0</v>
      </c>
      <c r="X4" s="72">
        <f>Table15313[[#This Row],[Média Alunos Estimada 
Total Personal]]-(Table15313[[#This Row],[Tx. % Real Alunos 
não ativados]]*Table15313[[#This Row],[Média Alunos Estimada 
Total Personal]])</f>
        <v>4.5</v>
      </c>
      <c r="Y4" s="66">
        <v>0.7</v>
      </c>
      <c r="Z4" s="14">
        <f>Table15313[[#This Row],[Ticket Médio Aluno Personal]]*Table15313[[#This Row],[Média Real Alunos 
Ativos Personal]]</f>
        <v>1125</v>
      </c>
      <c r="AA4" s="62">
        <f>Table15313[[#This Row],[Média Real Alunos 
Ativos Personal]]*Table15313[[#This Row],[Personais 
Ativos Mês]]</f>
        <v>139.185</v>
      </c>
      <c r="AB4" s="14">
        <f>Table15313[[#This Row],[Média Real por Personal]]*Q3</f>
        <v>0</v>
      </c>
      <c r="AC4" s="14">
        <f>Table15313[[#This Row],[Faturamento 
Real Bruto]]*2%</f>
        <v>0</v>
      </c>
      <c r="AD4" s="14">
        <f>Table15313[[#This Row],[Faturamento 
Real Bruto]]+AB3</f>
        <v>0</v>
      </c>
      <c r="AE4" s="14">
        <f>Table15313[[#This Row],[Receita MUVX 
(2%)]]+AC3</f>
        <v>0</v>
      </c>
      <c r="AF4" s="14">
        <f>Table15313[[#This Row],[Investimento no Mês
 (Growth) // 5%]]+AF3</f>
        <v>1831.5415</v>
      </c>
      <c r="AG4" s="73">
        <f>Table15313[[#This Row],[Receita MUVX Acumulada]]/Table15313[[#This Row],[Investimento Acumulado]]</f>
        <v>0</v>
      </c>
      <c r="AH4" s="73">
        <f>Table15313[[#This Row],[ROI]]+AH3</f>
        <v>0</v>
      </c>
    </row>
    <row r="5" spans="1:34">
      <c r="A5" s="78">
        <v>46082</v>
      </c>
      <c r="B5" s="61">
        <f t="shared" si="3"/>
        <v>50</v>
      </c>
      <c r="C5" s="61">
        <f>C66</f>
        <v>13.86</v>
      </c>
      <c r="D5" s="62">
        <f>Table15313[[#This Row],[Investimento no Mês
 (Growth) // 5%]]/Table15313[[#This Row],[CPL - Tráfego
(cadastro)]]</f>
        <v>3.6075036075036078</v>
      </c>
      <c r="E5" s="63">
        <f t="shared" si="0"/>
        <v>0.2</v>
      </c>
      <c r="F5" s="64">
        <f>Table15313[[#This Row],[Novos Cadastros 
LP]]*Table15313[[#This Row],[Tx. % Install]]</f>
        <v>0.72150072150072164</v>
      </c>
      <c r="G5" s="63">
        <f t="shared" si="1"/>
        <v>0.5</v>
      </c>
      <c r="H5" s="64">
        <f>Table15313[[#This Row],[Novos Installs no App]]*Table15313[[#This Row],[Tx % Ativações]]</f>
        <v>0.36075036075036082</v>
      </c>
      <c r="I5" s="63">
        <f t="shared" si="2"/>
        <v>0.3</v>
      </c>
      <c r="J5" s="64">
        <f t="shared" si="4"/>
        <v>0</v>
      </c>
      <c r="K5" s="63">
        <f t="shared" si="5"/>
        <v>0</v>
      </c>
      <c r="L5" s="62">
        <f>(Table15313[[#This Row],[Novos Personais Habilitados]]*Table15313[[#This Row],[Tx % de Conversão]])+(Table15313[[#This Row],[Cadastros Evento Presencial]]*Table15313[[#This Row],[Tx % Ativação Presencial]])</f>
        <v>0.10822510822510824</v>
      </c>
      <c r="M5" s="62">
        <f>Table15313[[#This Row],[Novos Personais Ativados]]+M4</f>
        <v>31.038225108225109</v>
      </c>
      <c r="N5" s="65">
        <f>Table15313[[#This Row],[Investimento no Mês
 (Growth) // 5%]]/Table15313[[#This Row],[Novos Personais Ativados]]</f>
        <v>461.99999999999994</v>
      </c>
      <c r="O5" s="66">
        <v>0.03</v>
      </c>
      <c r="P5" s="67">
        <f>M4*Table15313[[#This Row],[Tx. % Churn]]</f>
        <v>0.92789999999999995</v>
      </c>
      <c r="Q5" s="62">
        <f>Table15313[[#This Row],[Personais 
Totais]]-Table15313[[#This Row],[Qtde. Churn 
no Mês]]</f>
        <v>30.110325108225108</v>
      </c>
      <c r="R5" s="68">
        <v>15</v>
      </c>
      <c r="S5" s="61">
        <f>S4*1.005</f>
        <v>251.24999999999997</v>
      </c>
      <c r="T5" s="76">
        <f>Table15313[[#This Row],[Média Alunos Estimada 
Total Personal]]*Table15313[[#This Row],[Ticket Médio Aluno Personal]]</f>
        <v>3768.7499999999995</v>
      </c>
      <c r="U5" s="62">
        <f>Table15313[[#This Row],[Personais 
Ativos Mês]]+(Table15313[[#This Row],[Personais 
Ativos Mês]]*Table15313[[#This Row],[Média Alunos Estimada 
Total Personal]])</f>
        <v>481.76520173160173</v>
      </c>
      <c r="V5" s="77">
        <f>Table15313[[#This Row],[Média Faturamento
Estimada Personal]]*Q4</f>
        <v>116567.43749999999</v>
      </c>
      <c r="W5" s="71">
        <f>Table15313[[#This Row],[Faturamento Estimado]]*2%</f>
        <v>2331.3487499999997</v>
      </c>
      <c r="X5" s="72">
        <f>Table15313[[#This Row],[Média Alunos Estimada 
Total Personal]]-(Table15313[[#This Row],[Tx. % Real Alunos 
não ativados]]*Table15313[[#This Row],[Média Alunos Estimada 
Total Personal]])</f>
        <v>14.25</v>
      </c>
      <c r="Y5" s="66">
        <v>0.05</v>
      </c>
      <c r="Z5" s="14">
        <f>Table15313[[#This Row],[Ticket Médio Aluno Personal]]*Table15313[[#This Row],[Média Real Alunos 
Ativos Personal]]</f>
        <v>3580.3124999999995</v>
      </c>
      <c r="AA5" s="62">
        <f>Table15313[[#This Row],[Média Real Alunos 
Ativos Personal]]*Table15313[[#This Row],[Personais 
Ativos Mês]]</f>
        <v>429.07213279220781</v>
      </c>
      <c r="AB5" s="14">
        <f>Table15313[[#This Row],[Média Real por Personal]]*Q4</f>
        <v>110739.06562499999</v>
      </c>
      <c r="AC5" s="14">
        <f>Table15313[[#This Row],[Faturamento 
Real Bruto]]*2%</f>
        <v>2214.7813124999998</v>
      </c>
      <c r="AD5" s="14">
        <f>AD4+Table15313[[#This Row],[Faturamento 
Real Bruto]]</f>
        <v>110739.06562499999</v>
      </c>
      <c r="AE5" s="14">
        <f>AE4+Table15313[[#This Row],[Receita MUVX 
(2%)]]</f>
        <v>2214.7813124999998</v>
      </c>
      <c r="AF5" s="14">
        <f>Table15313[[#This Row],[Investimento no Mês
 (Growth) // 5%]]+AF4</f>
        <v>1881.5415</v>
      </c>
      <c r="AG5" s="73">
        <f>Table15313[[#This Row],[Receita MUVX Acumulada]]/Table15313[[#This Row],[Investimento Acumulado]]</f>
        <v>1.1771099986367559</v>
      </c>
      <c r="AH5" s="73">
        <f>Table15313[[#This Row],[ROI]]+AH4</f>
        <v>1.1771099986367559</v>
      </c>
    </row>
    <row r="6" spans="1:34">
      <c r="A6" s="60">
        <v>46113</v>
      </c>
      <c r="B6" s="61">
        <f t="shared" si="3"/>
        <v>50</v>
      </c>
      <c r="C6" s="61">
        <f>C67</f>
        <v>13.721399999999999</v>
      </c>
      <c r="D6" s="62">
        <f>Table15313[[#This Row],[Investimento no Mês
 (Growth) // 5%]]/Table15313[[#This Row],[CPL - Tráfego
(cadastro)]]</f>
        <v>3.643943037882432</v>
      </c>
      <c r="E6" s="63">
        <f t="shared" si="0"/>
        <v>0.2</v>
      </c>
      <c r="F6" s="64">
        <f>Table15313[[#This Row],[Novos Cadastros 
LP]]*Table15313[[#This Row],[Tx. % Install]]</f>
        <v>0.72878860757648645</v>
      </c>
      <c r="G6" s="63">
        <f t="shared" si="1"/>
        <v>0.5</v>
      </c>
      <c r="H6" s="64">
        <f>Table15313[[#This Row],[Novos Installs no App]]*Table15313[[#This Row],[Tx % Ativações]]</f>
        <v>0.36439430378824322</v>
      </c>
      <c r="I6" s="63">
        <f t="shared" si="2"/>
        <v>0.3</v>
      </c>
      <c r="J6" s="64">
        <f t="shared" si="4"/>
        <v>0</v>
      </c>
      <c r="K6" s="63">
        <f t="shared" si="5"/>
        <v>0</v>
      </c>
      <c r="L6" s="62">
        <f>(Table15313[[#This Row],[Novos Personais Habilitados]]*Table15313[[#This Row],[Tx % de Conversão]])+(Table15313[[#This Row],[Cadastros Evento Presencial]]*Table15313[[#This Row],[Tx % Ativação Presencial]])</f>
        <v>0.10931829113647297</v>
      </c>
      <c r="M6" s="62">
        <f>Table15313[[#This Row],[Novos Personais Ativados]]+M5</f>
        <v>31.147543399361581</v>
      </c>
      <c r="N6" s="65">
        <f>Table15313[[#This Row],[Investimento no Mês
 (Growth) // 5%]]/Table15313[[#This Row],[Novos Personais Ativados]]</f>
        <v>457.37999999999994</v>
      </c>
      <c r="O6" s="66">
        <v>0.02</v>
      </c>
      <c r="P6" s="67">
        <f>M5*Table15313[[#This Row],[Tx. % Churn]]</f>
        <v>0.62076450216450219</v>
      </c>
      <c r="Q6" s="62">
        <f>Table15313[[#This Row],[Personais 
Totais]]-Table15313[[#This Row],[Qtde. Churn 
no Mês]]</f>
        <v>30.526778897197079</v>
      </c>
      <c r="R6" s="68">
        <v>15</v>
      </c>
      <c r="S6" s="61">
        <f t="shared" ref="S6:S16" si="6">S5*1.015</f>
        <v>255.01874999999995</v>
      </c>
      <c r="T6" s="76">
        <f>Table15313[[#This Row],[Média Alunos Estimada 
Total Personal]]*Table15313[[#This Row],[Ticket Médio Aluno Personal]]</f>
        <v>3825.2812499999991</v>
      </c>
      <c r="U6" s="62">
        <f>Table15313[[#This Row],[Personais 
Ativos Mês]]+(Table15313[[#This Row],[Personais 
Ativos Mês]]*Table15313[[#This Row],[Média Alunos Estimada 
Total Personal]])</f>
        <v>488.42846235515327</v>
      </c>
      <c r="V6" s="77">
        <f>Table15313[[#This Row],[Média Faturamento
Estimada Personal]]*Q5</f>
        <v>115180.46206789769</v>
      </c>
      <c r="W6" s="71">
        <f>Table15313[[#This Row],[Faturamento Estimado]]*2%</f>
        <v>2303.609241357954</v>
      </c>
      <c r="X6" s="72">
        <f>Table15313[[#This Row],[Média Alunos Estimada 
Total Personal]]-(Table15313[[#This Row],[Tx. % Real Alunos 
não ativados]]*Table15313[[#This Row],[Média Alunos Estimada 
Total Personal]])</f>
        <v>14.25</v>
      </c>
      <c r="Y6" s="66">
        <v>0.05</v>
      </c>
      <c r="Z6" s="14">
        <f>Table15313[[#This Row],[Ticket Médio Aluno Personal]]*Table15313[[#This Row],[Média Real Alunos 
Ativos Personal]]</f>
        <v>3634.0171874999992</v>
      </c>
      <c r="AA6" s="62">
        <f>Table15313[[#This Row],[Média Real Alunos 
Ativos Personal]]*Table15313[[#This Row],[Personais 
Ativos Mês]]</f>
        <v>435.00659928505837</v>
      </c>
      <c r="AB6" s="14">
        <f>Table15313[[#This Row],[Média Real por Personal]]*Q5</f>
        <v>109421.43896450281</v>
      </c>
      <c r="AC6" s="14">
        <f>Table15313[[#This Row],[Faturamento 
Real Bruto]]*2%</f>
        <v>2188.4287792900564</v>
      </c>
      <c r="AD6" s="14">
        <f>AD5+Table15313[[#This Row],[Faturamento 
Real Bruto]]</f>
        <v>220160.50458950282</v>
      </c>
      <c r="AE6" s="14">
        <f>AE5+Table15313[[#This Row],[Receita MUVX 
(2%)]]</f>
        <v>4403.2100917900561</v>
      </c>
      <c r="AF6" s="14">
        <f>Table15313[[#This Row],[Investimento no Mês
 (Growth) // 5%]]+AF5</f>
        <v>1931.5415</v>
      </c>
      <c r="AG6" s="73">
        <f>Table15313[[#This Row],[Receita MUVX Acumulada]]/Table15313[[#This Row],[Investimento Acumulado]]</f>
        <v>2.2796352508035969</v>
      </c>
      <c r="AH6" s="73">
        <f>Table15313[[#This Row],[ROI]]+AH5</f>
        <v>3.4567452494403526</v>
      </c>
    </row>
    <row r="7" spans="1:34">
      <c r="A7" s="78">
        <v>46143</v>
      </c>
      <c r="B7" s="61">
        <f t="shared" si="3"/>
        <v>250</v>
      </c>
      <c r="C7" s="61">
        <f t="shared" ref="C4:C16" si="7">C68</f>
        <v>13.584185999999999</v>
      </c>
      <c r="D7" s="62">
        <f>Table15313[[#This Row],[Investimento no Mês
 (Growth) // 5%]]/Table15313[[#This Row],[CPL - Tráfego
(cadastro)]]</f>
        <v>18.403752716577941</v>
      </c>
      <c r="E7" s="63">
        <f t="shared" si="0"/>
        <v>0.2</v>
      </c>
      <c r="F7" s="64">
        <f>Table15313[[#This Row],[Novos Cadastros 
LP]]*Table15313[[#This Row],[Tx. % Install]]</f>
        <v>3.6807505433155883</v>
      </c>
      <c r="G7" s="63">
        <f t="shared" si="1"/>
        <v>0.6</v>
      </c>
      <c r="H7" s="64">
        <f>Table15313[[#This Row],[Novos Installs no App]]*Table15313[[#This Row],[Tx % Ativações]]</f>
        <v>2.2084503259893529</v>
      </c>
      <c r="I7" s="63">
        <f t="shared" si="2"/>
        <v>0.3</v>
      </c>
      <c r="J7" s="64">
        <f t="shared" si="4"/>
        <v>0</v>
      </c>
      <c r="K7" s="63">
        <f t="shared" si="5"/>
        <v>0</v>
      </c>
      <c r="L7" s="62">
        <f>(Table15313[[#This Row],[Novos Personais Habilitados]]*Table15313[[#This Row],[Tx % de Conversão]])+(Table15313[[#This Row],[Cadastros Evento Presencial]]*Table15313[[#This Row],[Tx % Ativação Presencial]])</f>
        <v>0.66253509779680586</v>
      </c>
      <c r="M7" s="62">
        <f>Table15313[[#This Row],[Novos Personais Ativados]]+M6</f>
        <v>31.810078497158386</v>
      </c>
      <c r="N7" s="65">
        <f>Table15313[[#This Row],[Investimento no Mês
 (Growth) // 5%]]/Table15313[[#This Row],[Novos Personais Ativados]]</f>
        <v>377.33849999999995</v>
      </c>
      <c r="O7" s="66">
        <v>0.02</v>
      </c>
      <c r="P7" s="67">
        <f>M6*Table15313[[#This Row],[Tx. % Churn]]</f>
        <v>0.62295086798723165</v>
      </c>
      <c r="Q7" s="62">
        <f>Table15313[[#This Row],[Personais 
Totais]]-Table15313[[#This Row],[Qtde. Churn 
no Mês]]</f>
        <v>31.187127629171155</v>
      </c>
      <c r="R7" s="68">
        <v>15</v>
      </c>
      <c r="S7" s="61">
        <f t="shared" si="6"/>
        <v>258.84403124999994</v>
      </c>
      <c r="T7" s="76">
        <f>Table15313[[#This Row],[Média Alunos Estimada 
Total Personal]]*Table15313[[#This Row],[Ticket Médio Aluno Personal]]</f>
        <v>3882.6604687499994</v>
      </c>
      <c r="U7" s="62">
        <f>Table15313[[#This Row],[Personais 
Ativos Mês]]+(Table15313[[#This Row],[Personais 
Ativos Mês]]*Table15313[[#This Row],[Média Alunos Estimada 
Total Personal]])</f>
        <v>498.99404206673847</v>
      </c>
      <c r="V7" s="77">
        <f>Table15313[[#This Row],[Média Faturamento
Estimada Personal]]*Q6</f>
        <v>118525.11766241881</v>
      </c>
      <c r="W7" s="71">
        <f>Table15313[[#This Row],[Faturamento Estimado]]*2%</f>
        <v>2370.502353248376</v>
      </c>
      <c r="X7" s="72">
        <f>Table15313[[#This Row],[Média Alunos Estimada 
Total Personal]]-(Table15313[[#This Row],[Tx. % Real Alunos 
não ativados]]*Table15313[[#This Row],[Média Alunos Estimada 
Total Personal]])</f>
        <v>14.25</v>
      </c>
      <c r="Y7" s="66">
        <v>0.05</v>
      </c>
      <c r="Z7" s="14">
        <f>Table15313[[#This Row],[Ticket Médio Aluno Personal]]*Table15313[[#This Row],[Média Real Alunos 
Ativos Personal]]</f>
        <v>3688.5274453124994</v>
      </c>
      <c r="AA7" s="62">
        <f>Table15313[[#This Row],[Média Real Alunos 
Ativos Personal]]*Table15313[[#This Row],[Personais 
Ativos Mês]]</f>
        <v>444.41656871568892</v>
      </c>
      <c r="AB7" s="14">
        <f>Table15313[[#This Row],[Média Real por Personal]]*Q6</f>
        <v>112598.86177929786</v>
      </c>
      <c r="AC7" s="14">
        <f>Table15313[[#This Row],[Faturamento 
Real Bruto]]*2%</f>
        <v>2251.9772355859573</v>
      </c>
      <c r="AD7" s="14">
        <f>AD6+Table15313[[#This Row],[Faturamento 
Real Bruto]]</f>
        <v>332759.36636880069</v>
      </c>
      <c r="AE7" s="14">
        <f>AE6+Table15313[[#This Row],[Receita MUVX 
(2%)]]</f>
        <v>6655.1873273760139</v>
      </c>
      <c r="AF7" s="14">
        <f>Table15313[[#This Row],[Investimento no Mês
 (Growth) // 5%]]+AF6</f>
        <v>2181.5415000000003</v>
      </c>
      <c r="AG7" s="73">
        <f>Table15313[[#This Row],[Receita MUVX Acumulada]]/Table15313[[#This Row],[Investimento Acumulado]]</f>
        <v>3.0506810562054461</v>
      </c>
      <c r="AH7" s="73">
        <f>Table15313[[#This Row],[ROI]]+AH6</f>
        <v>6.507426305645799</v>
      </c>
    </row>
    <row r="8" spans="1:34">
      <c r="A8" s="60">
        <v>46174</v>
      </c>
      <c r="B8" s="61">
        <f t="shared" si="3"/>
        <v>1500</v>
      </c>
      <c r="C8" s="61">
        <f t="shared" si="7"/>
        <v>13.44834414</v>
      </c>
      <c r="D8" s="62">
        <f>Table15313[[#This Row],[Investimento no Mês
 (Growth) // 5%]]/Table15313[[#This Row],[CPL - Tráfego
(cadastro)]]</f>
        <v>111.53789525198751</v>
      </c>
      <c r="E8" s="63">
        <v>0.3</v>
      </c>
      <c r="F8" s="64">
        <f>Table15313[[#This Row],[Novos Cadastros 
LP]]*Table15313[[#This Row],[Tx. % Install]]</f>
        <v>33.461368575596254</v>
      </c>
      <c r="G8" s="63">
        <f t="shared" si="1"/>
        <v>0.6</v>
      </c>
      <c r="H8" s="64">
        <f>Table15313[[#This Row],[Novos Installs no App]]*Table15313[[#This Row],[Tx % Ativações]]</f>
        <v>20.076821145357751</v>
      </c>
      <c r="I8" s="63">
        <f t="shared" si="2"/>
        <v>0.3</v>
      </c>
      <c r="J8" s="64">
        <f t="shared" si="4"/>
        <v>0</v>
      </c>
      <c r="K8" s="63">
        <f t="shared" si="5"/>
        <v>0</v>
      </c>
      <c r="L8" s="62">
        <f>(Table15313[[#This Row],[Novos Personais Habilitados]]*Table15313[[#This Row],[Tx % de Conversão]])+(Table15313[[#This Row],[Cadastros Evento Presencial]]*Table15313[[#This Row],[Tx % Ativação Presencial]])</f>
        <v>6.0230463436073256</v>
      </c>
      <c r="M8" s="62">
        <f>Table15313[[#This Row],[Novos Personais Ativados]]+M7</f>
        <v>37.833124840765713</v>
      </c>
      <c r="N8" s="65">
        <f>Table15313[[#This Row],[Investimento no Mês
 (Growth) // 5%]]/Table15313[[#This Row],[Novos Personais Ativados]]</f>
        <v>249.04340999999999</v>
      </c>
      <c r="O8" s="66">
        <v>0.04</v>
      </c>
      <c r="P8" s="67">
        <f>M7*Table15313[[#This Row],[Tx. % Churn]]</f>
        <v>1.2724031398863356</v>
      </c>
      <c r="Q8" s="62">
        <f>Table15313[[#This Row],[Personais 
Totais]]-Table15313[[#This Row],[Qtde. Churn 
no Mês]]</f>
        <v>36.560721700879377</v>
      </c>
      <c r="R8" s="68">
        <v>15</v>
      </c>
      <c r="S8" s="61">
        <f t="shared" si="6"/>
        <v>262.72669171874992</v>
      </c>
      <c r="T8" s="76">
        <f>Table15313[[#This Row],[Média Alunos Estimada 
Total Personal]]*Table15313[[#This Row],[Ticket Médio Aluno Personal]]</f>
        <v>3940.9003757812488</v>
      </c>
      <c r="U8" s="62">
        <f>Table15313[[#This Row],[Personais 
Ativos Mês]]+(Table15313[[#This Row],[Personais 
Ativos Mês]]*Table15313[[#This Row],[Média Alunos Estimada 
Total Personal]])</f>
        <v>584.97154721407003</v>
      </c>
      <c r="V8" s="77">
        <f>Table15313[[#This Row],[Média Faturamento
Estimada Personal]]*Q7</f>
        <v>122905.36299333838</v>
      </c>
      <c r="W8" s="71">
        <f>Table15313[[#This Row],[Faturamento Estimado]]*2%</f>
        <v>2458.1072598667674</v>
      </c>
      <c r="X8" s="72">
        <f>Table15313[[#This Row],[Média Alunos Estimada 
Total Personal]]-(Table15313[[#This Row],[Tx. % Real Alunos 
não ativados]]*Table15313[[#This Row],[Média Alunos Estimada 
Total Personal]])</f>
        <v>14.25</v>
      </c>
      <c r="Y8" s="66">
        <v>0.05</v>
      </c>
      <c r="Z8" s="14">
        <f>Table15313[[#This Row],[Ticket Médio Aluno Personal]]*Table15313[[#This Row],[Média Real Alunos 
Ativos Personal]]</f>
        <v>3743.8553569921864</v>
      </c>
      <c r="AA8" s="62">
        <f>Table15313[[#This Row],[Média Real Alunos 
Ativos Personal]]*Table15313[[#This Row],[Personais 
Ativos Mês]]</f>
        <v>520.99028423753111</v>
      </c>
      <c r="AB8" s="14">
        <f>Table15313[[#This Row],[Média Real por Personal]]*Q7</f>
        <v>116760.09484367145</v>
      </c>
      <c r="AC8" s="14">
        <f>Table15313[[#This Row],[Faturamento 
Real Bruto]]*2%</f>
        <v>2335.2018968734292</v>
      </c>
      <c r="AD8" s="14">
        <f>AD7+Table15313[[#This Row],[Faturamento 
Real Bruto]]</f>
        <v>449519.46121247218</v>
      </c>
      <c r="AE8" s="14">
        <f>AE7+Table15313[[#This Row],[Receita MUVX 
(2%)]]</f>
        <v>8990.3892242494439</v>
      </c>
      <c r="AF8" s="14">
        <f>Table15313[[#This Row],[Investimento no Mês
 (Growth) // 5%]]+AF7</f>
        <v>3681.5415000000003</v>
      </c>
      <c r="AG8" s="73">
        <f>Table15313[[#This Row],[Receita MUVX Acumulada]]/Table15313[[#This Row],[Investimento Acumulado]]</f>
        <v>2.4420176233921151</v>
      </c>
      <c r="AH8" s="73">
        <f>Table15313[[#This Row],[ROI]]+AH7</f>
        <v>8.9494439290379137</v>
      </c>
    </row>
    <row r="9" spans="1:34">
      <c r="A9" s="78">
        <v>46204</v>
      </c>
      <c r="B9" s="61">
        <f t="shared" si="3"/>
        <v>5000</v>
      </c>
      <c r="C9" s="61">
        <f t="shared" si="7"/>
        <v>13.313860698599999</v>
      </c>
      <c r="D9" s="62">
        <f>Table15313[[#This Row],[Investimento no Mês
 (Growth) // 5%]]/Table15313[[#This Row],[CPL - Tráfego
(cadastro)]]</f>
        <v>375.54846886191081</v>
      </c>
      <c r="E9" s="63">
        <f t="shared" si="0"/>
        <v>0.3</v>
      </c>
      <c r="F9" s="64">
        <f>Table15313[[#This Row],[Novos Cadastros 
LP]]*Table15313[[#This Row],[Tx. % Install]]</f>
        <v>112.66454065857324</v>
      </c>
      <c r="G9" s="63">
        <f t="shared" si="1"/>
        <v>0.6</v>
      </c>
      <c r="H9" s="64">
        <f>Table15313[[#This Row],[Novos Installs no App]]*Table15313[[#This Row],[Tx % Ativações]]</f>
        <v>67.598724395143947</v>
      </c>
      <c r="I9" s="63">
        <f t="shared" si="2"/>
        <v>0.3</v>
      </c>
      <c r="J9" s="64">
        <f t="shared" si="4"/>
        <v>0</v>
      </c>
      <c r="K9" s="63">
        <f t="shared" si="5"/>
        <v>0.2</v>
      </c>
      <c r="L9" s="62">
        <f>(Table15313[[#This Row],[Novos Personais Habilitados]]*Table15313[[#This Row],[Tx % de Conversão]])+(Table15313[[#This Row],[Cadastros Evento Presencial]]*Table15313[[#This Row],[Tx % Ativação Presencial]])</f>
        <v>20.279617318543185</v>
      </c>
      <c r="M9" s="62">
        <f>Table15313[[#This Row],[Novos Personais Ativados]]+M8</f>
        <v>58.112742159308894</v>
      </c>
      <c r="N9" s="65">
        <f>Table15313[[#This Row],[Investimento no Mês
 (Growth) // 5%]]/Table15313[[#This Row],[Novos Personais Ativados]]</f>
        <v>246.55297589999998</v>
      </c>
      <c r="O9" s="66">
        <v>0.02</v>
      </c>
      <c r="P9" s="67">
        <f>M8*Table15313[[#This Row],[Tx. % Churn]]</f>
        <v>0.75666249681531428</v>
      </c>
      <c r="Q9" s="62">
        <f>Table15313[[#This Row],[Personais 
Totais]]-Table15313[[#This Row],[Qtde. Churn 
no Mês]]</f>
        <v>57.356079662493578</v>
      </c>
      <c r="R9" s="68">
        <v>15</v>
      </c>
      <c r="S9" s="61">
        <f t="shared" si="6"/>
        <v>266.66759209453113</v>
      </c>
      <c r="T9" s="76">
        <f>Table15313[[#This Row],[Média Alunos Estimada 
Total Personal]]*Table15313[[#This Row],[Ticket Médio Aluno Personal]]</f>
        <v>4000.0138814179668</v>
      </c>
      <c r="U9" s="62">
        <f>Table15313[[#This Row],[Personais 
Ativos Mês]]+(Table15313[[#This Row],[Personais 
Ativos Mês]]*Table15313[[#This Row],[Média Alunos Estimada 
Total Personal]])</f>
        <v>917.69727459989724</v>
      </c>
      <c r="V9" s="77">
        <f>Table15313[[#This Row],[Média Faturamento
Estimada Personal]]*Q8</f>
        <v>146243.39431817661</v>
      </c>
      <c r="W9" s="71">
        <f>Table15313[[#This Row],[Faturamento Estimado]]*2%</f>
        <v>2924.8678863635323</v>
      </c>
      <c r="X9" s="72">
        <f>Table15313[[#This Row],[Média Alunos Estimada 
Total Personal]]-(Table15313[[#This Row],[Tx. % Real Alunos 
não ativados]]*Table15313[[#This Row],[Média Alunos Estimada 
Total Personal]])</f>
        <v>14.25</v>
      </c>
      <c r="Y9" s="66">
        <v>0.05</v>
      </c>
      <c r="Z9" s="14">
        <f>Table15313[[#This Row],[Ticket Médio Aluno Personal]]*Table15313[[#This Row],[Média Real Alunos 
Ativos Personal]]</f>
        <v>3800.0131873470687</v>
      </c>
      <c r="AA9" s="62">
        <f>Table15313[[#This Row],[Média Real Alunos 
Ativos Personal]]*Table15313[[#This Row],[Personais 
Ativos Mês]]</f>
        <v>817.32413519053353</v>
      </c>
      <c r="AB9" s="14">
        <f>Table15313[[#This Row],[Média Real por Personal]]*Q8</f>
        <v>138931.22460226779</v>
      </c>
      <c r="AC9" s="14">
        <f>Table15313[[#This Row],[Faturamento 
Real Bruto]]*2%</f>
        <v>2778.624492045356</v>
      </c>
      <c r="AD9" s="14">
        <f>AD8+Table15313[[#This Row],[Faturamento 
Real Bruto]]</f>
        <v>588450.6858147399</v>
      </c>
      <c r="AE9" s="14">
        <f>AE8+Table15313[[#This Row],[Receita MUVX 
(2%)]]</f>
        <v>11769.013716294799</v>
      </c>
      <c r="AF9" s="14">
        <f>Table15313[[#This Row],[Investimento no Mês
 (Growth) // 5%]]+AF8</f>
        <v>8681.5414999999994</v>
      </c>
      <c r="AG9" s="73">
        <f>Table15313[[#This Row],[Receita MUVX Acumulada]]/Table15313[[#This Row],[Investimento Acumulado]]</f>
        <v>1.3556364058496755</v>
      </c>
      <c r="AH9" s="73">
        <f>Table15313[[#This Row],[ROI]]+AH8</f>
        <v>10.30508033488759</v>
      </c>
    </row>
    <row r="10" spans="1:34">
      <c r="A10" s="60">
        <v>46235</v>
      </c>
      <c r="B10" s="61">
        <f t="shared" si="3"/>
        <v>5000</v>
      </c>
      <c r="C10" s="61">
        <f t="shared" si="7"/>
        <v>13.180722091613999</v>
      </c>
      <c r="D10" s="62">
        <f>Table15313[[#This Row],[Investimento no Mês
 (Growth) // 5%]]/Table15313[[#This Row],[CPL - Tráfego
(cadastro)]]</f>
        <v>379.34188773930384</v>
      </c>
      <c r="E10" s="63">
        <f t="shared" si="0"/>
        <v>0.3</v>
      </c>
      <c r="F10" s="64">
        <f>Table15313[[#This Row],[Novos Cadastros 
LP]]*Table15313[[#This Row],[Tx. % Install]]</f>
        <v>113.80256632179115</v>
      </c>
      <c r="G10" s="63">
        <f t="shared" si="1"/>
        <v>0.6</v>
      </c>
      <c r="H10" s="64">
        <f>Table15313[[#This Row],[Novos Installs no App]]*Table15313[[#This Row],[Tx % Ativações]]</f>
        <v>68.281539793074685</v>
      </c>
      <c r="I10" s="63">
        <f t="shared" si="2"/>
        <v>0.3</v>
      </c>
      <c r="J10" s="64">
        <f t="shared" si="4"/>
        <v>0</v>
      </c>
      <c r="K10" s="63">
        <f t="shared" si="5"/>
        <v>0</v>
      </c>
      <c r="L10" s="62">
        <f>(Table15313[[#This Row],[Novos Personais Habilitados]]*Table15313[[#This Row],[Tx % de Conversão]])+(Table15313[[#This Row],[Cadastros Evento Presencial]]*Table15313[[#This Row],[Tx % Ativação Presencial]])</f>
        <v>20.484461937922404</v>
      </c>
      <c r="M10" s="62">
        <f>Table15313[[#This Row],[Novos Personais Ativados]]+M9</f>
        <v>78.597204097231298</v>
      </c>
      <c r="N10" s="65">
        <f>Table15313[[#This Row],[Investimento no Mês
 (Growth) // 5%]]/Table15313[[#This Row],[Novos Personais Ativados]]</f>
        <v>244.08744614100004</v>
      </c>
      <c r="O10" s="66">
        <v>0.02</v>
      </c>
      <c r="P10" s="67">
        <f>M9*Table15313[[#This Row],[Tx. % Churn]]</f>
        <v>1.1622548431861779</v>
      </c>
      <c r="Q10" s="62">
        <f>Table15313[[#This Row],[Personais 
Totais]]-Table15313[[#This Row],[Qtde. Churn 
no Mês]]</f>
        <v>77.434949254045122</v>
      </c>
      <c r="R10" s="68">
        <v>15</v>
      </c>
      <c r="S10" s="61">
        <f t="shared" si="6"/>
        <v>270.66760597594907</v>
      </c>
      <c r="T10" s="76">
        <f>Table15313[[#This Row],[Média Alunos Estimada 
Total Personal]]*Table15313[[#This Row],[Ticket Médio Aluno Personal]]</f>
        <v>4060.0140896392359</v>
      </c>
      <c r="U10" s="62">
        <f>Table15313[[#This Row],[Personais 
Ativos Mês]]+(Table15313[[#This Row],[Personais 
Ativos Mês]]*Table15313[[#This Row],[Média Alunos Estimada 
Total Personal]])</f>
        <v>1238.959188064722</v>
      </c>
      <c r="V10" s="77">
        <f>Table15313[[#This Row],[Média Faturamento
Estimada Personal]]*Q9</f>
        <v>232866.49155619435</v>
      </c>
      <c r="W10" s="71">
        <f>Table15313[[#This Row],[Faturamento Estimado]]*2%</f>
        <v>4657.3298311238868</v>
      </c>
      <c r="X10" s="72">
        <f>Table15313[[#This Row],[Média Alunos Estimada 
Total Personal]]-(Table15313[[#This Row],[Tx. % Real Alunos 
não ativados]]*Table15313[[#This Row],[Média Alunos Estimada 
Total Personal]])</f>
        <v>14.25</v>
      </c>
      <c r="Y10" s="66">
        <v>0.05</v>
      </c>
      <c r="Z10" s="14">
        <f>Table15313[[#This Row],[Ticket Médio Aluno Personal]]*Table15313[[#This Row],[Média Real Alunos 
Ativos Personal]]</f>
        <v>3857.0133851572741</v>
      </c>
      <c r="AA10" s="62">
        <f>Table15313[[#This Row],[Média Real Alunos 
Ativos Personal]]*Table15313[[#This Row],[Personais 
Ativos Mês]]</f>
        <v>1103.4480268701429</v>
      </c>
      <c r="AB10" s="14">
        <f>Table15313[[#This Row],[Média Real por Personal]]*Q9</f>
        <v>221223.16697838463</v>
      </c>
      <c r="AC10" s="14">
        <f>Table15313[[#This Row],[Faturamento 
Real Bruto]]*2%</f>
        <v>4424.4633395676929</v>
      </c>
      <c r="AD10" s="14">
        <f>AD9+Table15313[[#This Row],[Faturamento 
Real Bruto]]</f>
        <v>809673.8527931245</v>
      </c>
      <c r="AE10" s="14">
        <f>AE9+Table15313[[#This Row],[Receita MUVX 
(2%)]]</f>
        <v>16193.477055862491</v>
      </c>
      <c r="AF10" s="14">
        <f>Table15313[[#This Row],[Investimento no Mês
 (Growth) // 5%]]+AF9</f>
        <v>13681.541499999999</v>
      </c>
      <c r="AG10" s="73">
        <f>Table15313[[#This Row],[Receita MUVX Acumulada]]/Table15313[[#This Row],[Investimento Acumulado]]</f>
        <v>1.1836003315753925</v>
      </c>
      <c r="AH10" s="73">
        <f>Table15313[[#This Row],[ROI]]+AH9</f>
        <v>11.488680666462983</v>
      </c>
    </row>
    <row r="11" spans="1:34">
      <c r="A11" s="78">
        <v>46266</v>
      </c>
      <c r="B11" s="61">
        <f t="shared" si="3"/>
        <v>5000</v>
      </c>
      <c r="C11" s="61">
        <f t="shared" si="7"/>
        <v>13.048914870697859</v>
      </c>
      <c r="D11" s="62">
        <f>Table15313[[#This Row],[Investimento no Mês
 (Growth) // 5%]]/Table15313[[#This Row],[CPL - Tráfego
(cadastro)]]</f>
        <v>383.17362397909483</v>
      </c>
      <c r="E11" s="63">
        <f t="shared" si="0"/>
        <v>0.3</v>
      </c>
      <c r="F11" s="64">
        <f>Table15313[[#This Row],[Novos Cadastros 
LP]]*Table15313[[#This Row],[Tx. % Install]]</f>
        <v>114.95208719372845</v>
      </c>
      <c r="G11" s="63">
        <f t="shared" si="1"/>
        <v>0.6</v>
      </c>
      <c r="H11" s="64">
        <f>Table15313[[#This Row],[Novos Installs no App]]*Table15313[[#This Row],[Tx % Ativações]]</f>
        <v>68.97125231623707</v>
      </c>
      <c r="I11" s="63">
        <f t="shared" si="2"/>
        <v>0.3</v>
      </c>
      <c r="J11" s="64">
        <f t="shared" si="4"/>
        <v>0</v>
      </c>
      <c r="K11" s="63">
        <f t="shared" si="5"/>
        <v>0</v>
      </c>
      <c r="L11" s="62">
        <f>(Table15313[[#This Row],[Novos Personais Habilitados]]*Table15313[[#This Row],[Tx % de Conversão]])+(Table15313[[#This Row],[Cadastros Evento Presencial]]*Table15313[[#This Row],[Tx % Ativação Presencial]])</f>
        <v>20.69137569487112</v>
      </c>
      <c r="M11" s="62">
        <f>Table15313[[#This Row],[Novos Personais Ativados]]+M10</f>
        <v>99.288579792102411</v>
      </c>
      <c r="N11" s="65">
        <f>Table15313[[#This Row],[Investimento no Mês
 (Growth) // 5%]]/Table15313[[#This Row],[Novos Personais Ativados]]</f>
        <v>241.64657167958998</v>
      </c>
      <c r="O11" s="66">
        <v>0.02</v>
      </c>
      <c r="P11" s="67">
        <f>M10*Table15313[[#This Row],[Tx. % Churn]]</f>
        <v>1.571944081944626</v>
      </c>
      <c r="Q11" s="62">
        <f>Table15313[[#This Row],[Personais 
Totais]]-Table15313[[#This Row],[Qtde. Churn 
no Mês]]</f>
        <v>97.716635710157789</v>
      </c>
      <c r="R11" s="68">
        <v>15</v>
      </c>
      <c r="S11" s="61">
        <f t="shared" si="6"/>
        <v>274.72762006558827</v>
      </c>
      <c r="T11" s="76">
        <f>Table15313[[#This Row],[Média Alunos Estimada 
Total Personal]]*Table15313[[#This Row],[Ticket Médio Aluno Personal]]</f>
        <v>4120.9143009838244</v>
      </c>
      <c r="U11" s="62">
        <f>Table15313[[#This Row],[Personais 
Ativos Mês]]+(Table15313[[#This Row],[Personais 
Ativos Mês]]*Table15313[[#This Row],[Média Alunos Estimada 
Total Personal]])</f>
        <v>1563.4661713625246</v>
      </c>
      <c r="V11" s="77">
        <f>Table15313[[#This Row],[Média Faturamento
Estimada Personal]]*Q10</f>
        <v>319102.78977695125</v>
      </c>
      <c r="W11" s="71">
        <f>Table15313[[#This Row],[Faturamento Estimado]]*2%</f>
        <v>6382.055795539025</v>
      </c>
      <c r="X11" s="72">
        <f>Table15313[[#This Row],[Média Alunos Estimada 
Total Personal]]-(Table15313[[#This Row],[Tx. % Real Alunos 
não ativados]]*Table15313[[#This Row],[Média Alunos Estimada 
Total Personal]])</f>
        <v>14.25</v>
      </c>
      <c r="Y11" s="66">
        <v>0.05</v>
      </c>
      <c r="Z11" s="14">
        <f>Table15313[[#This Row],[Ticket Médio Aluno Personal]]*Table15313[[#This Row],[Média Real Alunos 
Ativos Personal]]</f>
        <v>3914.8685859346328</v>
      </c>
      <c r="AA11" s="62">
        <f>Table15313[[#This Row],[Média Real Alunos 
Ativos Personal]]*Table15313[[#This Row],[Personais 
Ativos Mês]]</f>
        <v>1392.4620588697485</v>
      </c>
      <c r="AB11" s="14">
        <f>Table15313[[#This Row],[Média Real por Personal]]*Q10</f>
        <v>303147.65028810367</v>
      </c>
      <c r="AC11" s="14">
        <f>Table15313[[#This Row],[Faturamento 
Real Bruto]]*2%</f>
        <v>6062.9530057620732</v>
      </c>
      <c r="AD11" s="14">
        <f>AD10+Table15313[[#This Row],[Faturamento 
Real Bruto]]</f>
        <v>1112821.5030812281</v>
      </c>
      <c r="AE11" s="14">
        <f>AE10+Table15313[[#This Row],[Receita MUVX 
(2%)]]</f>
        <v>22256.430061624564</v>
      </c>
      <c r="AF11" s="14">
        <f>Table15313[[#This Row],[Investimento no Mês
 (Growth) // 5%]]+AF10</f>
        <v>18681.541499999999</v>
      </c>
      <c r="AG11" s="73">
        <f>Table15313[[#This Row],[Receita MUVX Acumulada]]/Table15313[[#This Row],[Investimento Acumulado]]</f>
        <v>1.1913593994170431</v>
      </c>
      <c r="AH11" s="73">
        <f>Table15313[[#This Row],[ROI]]+AH10</f>
        <v>12.680040065880027</v>
      </c>
    </row>
    <row r="12" spans="1:34">
      <c r="A12" s="60">
        <v>46296</v>
      </c>
      <c r="B12" s="61">
        <f t="shared" si="3"/>
        <v>5000</v>
      </c>
      <c r="C12" s="61">
        <f t="shared" si="7"/>
        <v>12.91842572199088</v>
      </c>
      <c r="D12" s="62">
        <f>Table15313[[#This Row],[Investimento no Mês
 (Growth) // 5%]]/Table15313[[#This Row],[CPL - Tráfego
(cadastro)]]</f>
        <v>387.04406462534831</v>
      </c>
      <c r="E12" s="63">
        <f t="shared" si="0"/>
        <v>0.3</v>
      </c>
      <c r="F12" s="64">
        <f>Table15313[[#This Row],[Novos Cadastros 
LP]]*Table15313[[#This Row],[Tx. % Install]]</f>
        <v>116.11321938760449</v>
      </c>
      <c r="G12" s="63">
        <f t="shared" si="1"/>
        <v>0.6</v>
      </c>
      <c r="H12" s="64">
        <f>Table15313[[#This Row],[Novos Installs no App]]*Table15313[[#This Row],[Tx % Ativações]]</f>
        <v>69.667931632562684</v>
      </c>
      <c r="I12" s="63">
        <f t="shared" si="2"/>
        <v>0.3</v>
      </c>
      <c r="J12" s="64">
        <f t="shared" si="4"/>
        <v>0</v>
      </c>
      <c r="K12" s="63">
        <f t="shared" si="5"/>
        <v>0</v>
      </c>
      <c r="L12" s="62">
        <f>(Table15313[[#This Row],[Novos Personais Habilitados]]*Table15313[[#This Row],[Tx % de Conversão]])+(Table15313[[#This Row],[Cadastros Evento Presencial]]*Table15313[[#This Row],[Tx % Ativação Presencial]])</f>
        <v>20.900379489768806</v>
      </c>
      <c r="M12" s="62">
        <f>Table15313[[#This Row],[Novos Personais Ativados]]+M11</f>
        <v>120.18895928187122</v>
      </c>
      <c r="N12" s="65">
        <f>Table15313[[#This Row],[Investimento no Mês
 (Growth) // 5%]]/Table15313[[#This Row],[Novos Personais Ativados]]</f>
        <v>239.23010596279411</v>
      </c>
      <c r="O12" s="66">
        <v>0.03</v>
      </c>
      <c r="P12" s="67">
        <f>M11*Table15313[[#This Row],[Tx. % Churn]]</f>
        <v>2.978657393763072</v>
      </c>
      <c r="Q12" s="62">
        <f>Table15313[[#This Row],[Personais 
Totais]]-Table15313[[#This Row],[Qtde. Churn 
no Mês]]</f>
        <v>117.21030188810815</v>
      </c>
      <c r="R12" s="68">
        <v>15</v>
      </c>
      <c r="S12" s="61">
        <f t="shared" si="6"/>
        <v>278.84853436657204</v>
      </c>
      <c r="T12" s="76">
        <f>Table15313[[#This Row],[Média Alunos Estimada 
Total Personal]]*Table15313[[#This Row],[Ticket Médio Aluno Personal]]</f>
        <v>4182.7280154985801</v>
      </c>
      <c r="U12" s="62">
        <f>Table15313[[#This Row],[Personais 
Ativos Mês]]+(Table15313[[#This Row],[Personais 
Ativos Mês]]*Table15313[[#This Row],[Média Alunos Estimada 
Total Personal]])</f>
        <v>1875.3648302097304</v>
      </c>
      <c r="V12" s="77">
        <f>Table15313[[#This Row],[Média Faturamento
Estimada Personal]]*Q11</f>
        <v>408722.10976514599</v>
      </c>
      <c r="W12" s="71">
        <f>Table15313[[#This Row],[Faturamento Estimado]]*2%</f>
        <v>8174.4421953029196</v>
      </c>
      <c r="X12" s="72">
        <f>Table15313[[#This Row],[Média Alunos Estimada 
Total Personal]]-(Table15313[[#This Row],[Tx. % Real Alunos 
não ativados]]*Table15313[[#This Row],[Média Alunos Estimada 
Total Personal]])</f>
        <v>14.25</v>
      </c>
      <c r="Y12" s="66">
        <v>0.05</v>
      </c>
      <c r="Z12" s="14">
        <f>Table15313[[#This Row],[Ticket Médio Aluno Personal]]*Table15313[[#This Row],[Média Real Alunos 
Ativos Personal]]</f>
        <v>3973.5916147236517</v>
      </c>
      <c r="AA12" s="62">
        <f>Table15313[[#This Row],[Média Real Alunos 
Ativos Personal]]*Table15313[[#This Row],[Personais 
Ativos Mês]]</f>
        <v>1670.2468019055411</v>
      </c>
      <c r="AB12" s="14">
        <f>Table15313[[#This Row],[Média Real por Personal]]*Q11</f>
        <v>388286.00427688874</v>
      </c>
      <c r="AC12" s="14">
        <f>Table15313[[#This Row],[Faturamento 
Real Bruto]]*2%</f>
        <v>7765.720085537775</v>
      </c>
      <c r="AD12" s="14">
        <f>AD11+Table15313[[#This Row],[Faturamento 
Real Bruto]]</f>
        <v>1501107.5073581168</v>
      </c>
      <c r="AE12" s="14">
        <f>AE11+Table15313[[#This Row],[Receita MUVX 
(2%)]]</f>
        <v>30022.150147162338</v>
      </c>
      <c r="AF12" s="14">
        <f>Table15313[[#This Row],[Investimento no Mês
 (Growth) // 5%]]+AF11</f>
        <v>23681.541499999999</v>
      </c>
      <c r="AG12" s="73">
        <f>Table15313[[#This Row],[Receita MUVX Acumulada]]/Table15313[[#This Row],[Investimento Acumulado]]</f>
        <v>1.2677447600766334</v>
      </c>
      <c r="AH12" s="73">
        <f>Table15313[[#This Row],[ROI]]+AH11</f>
        <v>13.94778482595666</v>
      </c>
    </row>
    <row r="13" spans="1:34">
      <c r="A13" s="78">
        <v>46327</v>
      </c>
      <c r="B13" s="61">
        <f t="shared" si="3"/>
        <v>5000</v>
      </c>
      <c r="C13" s="61">
        <f t="shared" si="7"/>
        <v>12.789241464770971</v>
      </c>
      <c r="D13" s="62">
        <f>Table15313[[#This Row],[Investimento no Mês
 (Growth) // 5%]]/Table15313[[#This Row],[CPL - Tráfego
(cadastro)]]</f>
        <v>390.95360063166498</v>
      </c>
      <c r="E13" s="63">
        <f t="shared" si="0"/>
        <v>0.3</v>
      </c>
      <c r="F13" s="64">
        <f>Table15313[[#This Row],[Novos Cadastros 
LP]]*Table15313[[#This Row],[Tx. % Install]]</f>
        <v>117.28608018949949</v>
      </c>
      <c r="G13" s="63">
        <f t="shared" si="1"/>
        <v>0.6</v>
      </c>
      <c r="H13" s="64">
        <f>Table15313[[#This Row],[Novos Installs no App]]*Table15313[[#This Row],[Tx % Ativações]]</f>
        <v>70.371648113699692</v>
      </c>
      <c r="I13" s="63">
        <f t="shared" si="2"/>
        <v>0.3</v>
      </c>
      <c r="J13" s="64">
        <f t="shared" si="4"/>
        <v>0</v>
      </c>
      <c r="K13" s="63">
        <f t="shared" si="5"/>
        <v>0</v>
      </c>
      <c r="L13" s="62">
        <f>(Table15313[[#This Row],[Novos Personais Habilitados]]*Table15313[[#This Row],[Tx % de Conversão]])+(Table15313[[#This Row],[Cadastros Evento Presencial]]*Table15313[[#This Row],[Tx % Ativação Presencial]])</f>
        <v>21.111494434109908</v>
      </c>
      <c r="M13" s="62">
        <f>Table15313[[#This Row],[Novos Personais Ativados]]+M12</f>
        <v>141.30045371598112</v>
      </c>
      <c r="N13" s="65">
        <f>Table15313[[#This Row],[Investimento no Mês
 (Growth) // 5%]]/Table15313[[#This Row],[Novos Personais Ativados]]</f>
        <v>236.83780490316613</v>
      </c>
      <c r="O13" s="66">
        <v>0.02</v>
      </c>
      <c r="P13" s="67">
        <f>M12*Table15313[[#This Row],[Tx. % Churn]]</f>
        <v>2.4037791856374247</v>
      </c>
      <c r="Q13" s="62">
        <f>Table15313[[#This Row],[Personais 
Totais]]-Table15313[[#This Row],[Qtde. Churn 
no Mês]]</f>
        <v>138.89667453034369</v>
      </c>
      <c r="R13" s="68">
        <v>15</v>
      </c>
      <c r="S13" s="61">
        <f t="shared" si="6"/>
        <v>283.03126238207057</v>
      </c>
      <c r="T13" s="76">
        <f>Table15313[[#This Row],[Média Alunos Estimada 
Total Personal]]*Table15313[[#This Row],[Ticket Médio Aluno Personal]]</f>
        <v>4245.4689357310581</v>
      </c>
      <c r="U13" s="62">
        <f>Table15313[[#This Row],[Personais 
Ativos Mês]]+(Table15313[[#This Row],[Personais 
Ativos Mês]]*Table15313[[#This Row],[Média Alunos Estimada 
Total Personal]])</f>
        <v>2222.346792485499</v>
      </c>
      <c r="V13" s="77">
        <f>Table15313[[#This Row],[Média Faturamento
Estimada Personal]]*Q12</f>
        <v>497612.69561362255</v>
      </c>
      <c r="W13" s="71">
        <f>Table15313[[#This Row],[Faturamento Estimado]]*2%</f>
        <v>9952.253912272452</v>
      </c>
      <c r="X13" s="72">
        <f>Table15313[[#This Row],[Média Alunos Estimada 
Total Personal]]-(Table15313[[#This Row],[Tx. % Real Alunos 
não ativados]]*Table15313[[#This Row],[Média Alunos Estimada 
Total Personal]])</f>
        <v>14.25</v>
      </c>
      <c r="Y13" s="66">
        <v>0.05</v>
      </c>
      <c r="Z13" s="14">
        <f>Table15313[[#This Row],[Ticket Médio Aluno Personal]]*Table15313[[#This Row],[Média Real Alunos 
Ativos Personal]]</f>
        <v>4033.1954889445055</v>
      </c>
      <c r="AA13" s="62">
        <f>Table15313[[#This Row],[Média Real Alunos 
Ativos Personal]]*Table15313[[#This Row],[Personais 
Ativos Mês]]</f>
        <v>1979.2776120573976</v>
      </c>
      <c r="AB13" s="14">
        <f>Table15313[[#This Row],[Média Real por Personal]]*Q12</f>
        <v>472732.06083294144</v>
      </c>
      <c r="AC13" s="14">
        <f>Table15313[[#This Row],[Faturamento 
Real Bruto]]*2%</f>
        <v>9454.6412166588289</v>
      </c>
      <c r="AD13" s="14">
        <f>AD12+Table15313[[#This Row],[Faturamento 
Real Bruto]]</f>
        <v>1973839.5681910582</v>
      </c>
      <c r="AE13" s="14">
        <f>AE12+Table15313[[#This Row],[Receita MUVX 
(2%)]]</f>
        <v>39476.791363821168</v>
      </c>
      <c r="AF13" s="14">
        <f>Table15313[[#This Row],[Investimento no Mês
 (Growth) // 5%]]+AF12</f>
        <v>28681.541499999999</v>
      </c>
      <c r="AG13" s="73">
        <f>Table15313[[#This Row],[Receita MUVX Acumulada]]/Table15313[[#This Row],[Investimento Acumulado]]</f>
        <v>1.3763831823272528</v>
      </c>
      <c r="AH13" s="73">
        <f>Table15313[[#This Row],[ROI]]+AH12</f>
        <v>15.324168008283912</v>
      </c>
    </row>
    <row r="14" spans="1:34">
      <c r="A14" s="60">
        <v>46357</v>
      </c>
      <c r="B14" s="61">
        <f t="shared" si="3"/>
        <v>5000</v>
      </c>
      <c r="C14" s="61">
        <f t="shared" si="7"/>
        <v>12.661349050123262</v>
      </c>
      <c r="D14" s="62">
        <f>Table15313[[#This Row],[Investimento no Mês
 (Growth) // 5%]]/Table15313[[#This Row],[CPL - Tráfego
(cadastro)]]</f>
        <v>394.90262690067169</v>
      </c>
      <c r="E14" s="63">
        <f t="shared" si="0"/>
        <v>0.3</v>
      </c>
      <c r="F14" s="64">
        <f>Table15313[[#This Row],[Novos Cadastros 
LP]]*Table15313[[#This Row],[Tx. % Install]]</f>
        <v>118.47078807020151</v>
      </c>
      <c r="G14" s="63">
        <f t="shared" si="1"/>
        <v>0.6</v>
      </c>
      <c r="H14" s="64">
        <f>Table15313[[#This Row],[Novos Installs no App]]*Table15313[[#This Row],[Tx % Ativações]]</f>
        <v>71.082472842120907</v>
      </c>
      <c r="I14" s="63">
        <f t="shared" si="2"/>
        <v>0.3</v>
      </c>
      <c r="J14" s="64">
        <f t="shared" si="4"/>
        <v>0</v>
      </c>
      <c r="K14" s="63">
        <f t="shared" si="5"/>
        <v>0</v>
      </c>
      <c r="L14" s="62">
        <f>(Table15313[[#This Row],[Novos Personais Habilitados]]*Table15313[[#This Row],[Tx % de Conversão]])+(Table15313[[#This Row],[Cadastros Evento Presencial]]*Table15313[[#This Row],[Tx % Ativação Presencial]])</f>
        <v>21.324741852636272</v>
      </c>
      <c r="M14" s="62">
        <f>Table15313[[#This Row],[Novos Personais Ativados]]+M13</f>
        <v>162.62519556861739</v>
      </c>
      <c r="N14" s="65">
        <f>Table15313[[#This Row],[Investimento no Mês
 (Growth) // 5%]]/Table15313[[#This Row],[Novos Personais Ativados]]</f>
        <v>234.46942685413444</v>
      </c>
      <c r="O14" s="66">
        <v>0.03</v>
      </c>
      <c r="P14" s="67">
        <f>M13*Table15313[[#This Row],[Tx. % Churn]]</f>
        <v>4.2390136114794332</v>
      </c>
      <c r="Q14" s="62">
        <f>Table15313[[#This Row],[Personais 
Totais]]-Table15313[[#This Row],[Qtde. Churn 
no Mês]]</f>
        <v>158.38618195713795</v>
      </c>
      <c r="R14" s="68">
        <v>15</v>
      </c>
      <c r="S14" s="61">
        <f t="shared" si="6"/>
        <v>287.27673131780159</v>
      </c>
      <c r="T14" s="76">
        <f>Table15313[[#This Row],[Média Alunos Estimada 
Total Personal]]*Table15313[[#This Row],[Ticket Médio Aluno Personal]]</f>
        <v>4309.1509697670235</v>
      </c>
      <c r="U14" s="62">
        <f>Table15313[[#This Row],[Personais 
Ativos Mês]]+(Table15313[[#This Row],[Personais 
Ativos Mês]]*Table15313[[#This Row],[Média Alunos Estimada 
Total Personal]])</f>
        <v>2534.1789113142072</v>
      </c>
      <c r="V14" s="77">
        <f>Table15313[[#This Row],[Média Faturamento
Estimada Personal]]*Q13</f>
        <v>598526.73974984512</v>
      </c>
      <c r="W14" s="71">
        <f>Table15313[[#This Row],[Faturamento Estimado]]*2%</f>
        <v>11970.534794996902</v>
      </c>
      <c r="X14" s="72">
        <f>Table15313[[#This Row],[Média Alunos Estimada 
Total Personal]]-(Table15313[[#This Row],[Tx. % Real Alunos 
não ativados]]*Table15313[[#This Row],[Média Alunos Estimada 
Total Personal]])</f>
        <v>14.25</v>
      </c>
      <c r="Y14" s="66">
        <v>0.05</v>
      </c>
      <c r="Z14" s="14">
        <f>Table15313[[#This Row],[Ticket Médio Aluno Personal]]*Table15313[[#This Row],[Média Real Alunos 
Ativos Personal]]</f>
        <v>4093.6934212786728</v>
      </c>
      <c r="AA14" s="62">
        <f>Table15313[[#This Row],[Média Real Alunos 
Ativos Personal]]*Table15313[[#This Row],[Personais 
Ativos Mês]]</f>
        <v>2257.0030928892156</v>
      </c>
      <c r="AB14" s="14">
        <f>Table15313[[#This Row],[Média Real por Personal]]*Q13</f>
        <v>568600.40276235295</v>
      </c>
      <c r="AC14" s="14">
        <f>Table15313[[#This Row],[Faturamento 
Real Bruto]]*2%</f>
        <v>11372.008055247059</v>
      </c>
      <c r="AD14" s="14">
        <f>AD13+Table15313[[#This Row],[Faturamento 
Real Bruto]]</f>
        <v>2542439.9709534114</v>
      </c>
      <c r="AE14" s="14">
        <f>AE13+Table15313[[#This Row],[Receita MUVX 
(2%)]]</f>
        <v>50848.799419068229</v>
      </c>
      <c r="AF14" s="14">
        <f>Table15313[[#This Row],[Investimento no Mês
 (Growth) // 5%]]+AF13</f>
        <v>33681.541499999999</v>
      </c>
      <c r="AG14" s="73">
        <f>Table15313[[#This Row],[Receita MUVX Acumulada]]/Table15313[[#This Row],[Investimento Acumulado]]</f>
        <v>1.5096933559014285</v>
      </c>
      <c r="AH14" s="73">
        <f>Table15313[[#This Row],[ROI]]+AH13</f>
        <v>16.833861364185342</v>
      </c>
    </row>
    <row r="15" spans="1:34">
      <c r="A15" s="78">
        <v>46388</v>
      </c>
      <c r="B15" s="61">
        <f t="shared" si="3"/>
        <v>5000</v>
      </c>
      <c r="C15" s="61">
        <f t="shared" si="7"/>
        <v>12.534735559622028</v>
      </c>
      <c r="D15" s="62">
        <f>Table15313[[#This Row],[Investimento no Mês
 (Growth) // 5%]]/Table15313[[#This Row],[CPL - Tráfego
(cadastro)]]</f>
        <v>398.89154232391081</v>
      </c>
      <c r="E15" s="63">
        <f t="shared" si="0"/>
        <v>0.3</v>
      </c>
      <c r="F15" s="64">
        <f>Table15313[[#This Row],[Novos Cadastros 
LP]]*Table15313[[#This Row],[Tx. % Install]]</f>
        <v>119.66746269717324</v>
      </c>
      <c r="G15" s="63">
        <f t="shared" si="1"/>
        <v>0.6</v>
      </c>
      <c r="H15" s="64">
        <f>Table15313[[#This Row],[Novos Installs no App]]*Table15313[[#This Row],[Tx % Ativações]]</f>
        <v>71.800477618303944</v>
      </c>
      <c r="I15" s="63">
        <f t="shared" si="2"/>
        <v>0.3</v>
      </c>
      <c r="J15" s="64">
        <f t="shared" si="4"/>
        <v>0</v>
      </c>
      <c r="K15" s="63">
        <f t="shared" si="5"/>
        <v>0</v>
      </c>
      <c r="L15" s="62">
        <f>(Table15313[[#This Row],[Novos Personais Habilitados]]*Table15313[[#This Row],[Tx % de Conversão]])+(Table15313[[#This Row],[Cadastros Evento Presencial]]*Table15313[[#This Row],[Tx % Ativação Presencial]])</f>
        <v>21.540143285491183</v>
      </c>
      <c r="M15" s="62">
        <f>Table15313[[#This Row],[Novos Personais Ativados]]+M14</f>
        <v>184.16533885410857</v>
      </c>
      <c r="N15" s="65">
        <f>Table15313[[#This Row],[Investimento no Mês
 (Growth) // 5%]]/Table15313[[#This Row],[Novos Personais Ativados]]</f>
        <v>232.12473258559311</v>
      </c>
      <c r="O15" s="66">
        <v>0.03</v>
      </c>
      <c r="P15" s="67">
        <f>M14*Table15313[[#This Row],[Tx. % Churn]]</f>
        <v>4.8787558670585218</v>
      </c>
      <c r="Q15" s="62">
        <f>Table15313[[#This Row],[Personais 
Totais]]-Table15313[[#This Row],[Qtde. Churn 
no Mês]]</f>
        <v>179.28658298705005</v>
      </c>
      <c r="R15" s="68">
        <v>15</v>
      </c>
      <c r="S15" s="61">
        <f t="shared" si="6"/>
        <v>291.58588228756861</v>
      </c>
      <c r="T15" s="76">
        <f>Table15313[[#This Row],[Média Alunos Estimada 
Total Personal]]*Table15313[[#This Row],[Ticket Médio Aluno Personal]]</f>
        <v>4373.7882343135288</v>
      </c>
      <c r="U15" s="62">
        <f>Table15313[[#This Row],[Personais 
Ativos Mês]]+(Table15313[[#This Row],[Personais 
Ativos Mês]]*Table15313[[#This Row],[Média Alunos Estimada 
Total Personal]])</f>
        <v>2868.5853277928009</v>
      </c>
      <c r="V15" s="77">
        <f>Table15313[[#This Row],[Média Faturamento
Estimada Personal]]*Q14</f>
        <v>692747.61912197166</v>
      </c>
      <c r="W15" s="71">
        <f>Table15313[[#This Row],[Faturamento Estimado]]*2%</f>
        <v>13854.952382439433</v>
      </c>
      <c r="X15" s="72">
        <f>Table15313[[#This Row],[Média Alunos Estimada 
Total Personal]]-(Table15313[[#This Row],[Tx. % Real Alunos 
não ativados]]*Table15313[[#This Row],[Média Alunos Estimada 
Total Personal]])</f>
        <v>14.25</v>
      </c>
      <c r="Y15" s="66">
        <v>0.05</v>
      </c>
      <c r="Z15" s="14">
        <f>Table15313[[#This Row],[Ticket Médio Aluno Personal]]*Table15313[[#This Row],[Média Real Alunos 
Ativos Personal]]</f>
        <v>4155.0988225978526</v>
      </c>
      <c r="AA15" s="62">
        <f>Table15313[[#This Row],[Média Real Alunos 
Ativos Personal]]*Table15313[[#This Row],[Personais 
Ativos Mês]]</f>
        <v>2554.8338075654633</v>
      </c>
      <c r="AB15" s="14">
        <f>Table15313[[#This Row],[Média Real por Personal]]*Q14</f>
        <v>658110.2381658731</v>
      </c>
      <c r="AC15" s="14">
        <f>Table15313[[#This Row],[Faturamento 
Real Bruto]]*2%</f>
        <v>13162.204763317462</v>
      </c>
      <c r="AD15" s="14">
        <f>AD14+Table15313[[#This Row],[Faturamento 
Real Bruto]]</f>
        <v>3200550.2091192845</v>
      </c>
      <c r="AE15" s="14">
        <f>AE14+Table15313[[#This Row],[Receita MUVX 
(2%)]]</f>
        <v>64011.004182385688</v>
      </c>
      <c r="AF15" s="14">
        <f>Table15313[[#This Row],[Investimento no Mês
 (Growth) // 5%]]+AF14</f>
        <v>38681.541499999999</v>
      </c>
      <c r="AG15" s="73">
        <f>Table15313[[#This Row],[Receita MUVX Acumulada]]/Table15313[[#This Row],[Investimento Acumulado]]</f>
        <v>1.6548204052929403</v>
      </c>
      <c r="AH15" s="73">
        <f>Table15313[[#This Row],[ROI]]+AH14</f>
        <v>18.488681769478283</v>
      </c>
    </row>
    <row r="16" spans="1:34">
      <c r="A16" s="60">
        <v>46419</v>
      </c>
      <c r="B16" s="61">
        <f t="shared" si="3"/>
        <v>5000</v>
      </c>
      <c r="C16" s="61">
        <f t="shared" si="7"/>
        <v>12.409388204025808</v>
      </c>
      <c r="D16" s="62">
        <f>Table15313[[#This Row],[Investimento no Mês
 (Growth) // 5%]]/Table15313[[#This Row],[CPL - Tráfego
(cadastro)]]</f>
        <v>402.92074982213211</v>
      </c>
      <c r="E16" s="63">
        <f t="shared" si="0"/>
        <v>0.3</v>
      </c>
      <c r="F16" s="64">
        <f>Table15313[[#This Row],[Novos Cadastros 
LP]]*Table15313[[#This Row],[Tx. % Install]]</f>
        <v>120.87622494663962</v>
      </c>
      <c r="G16" s="63">
        <f t="shared" si="1"/>
        <v>0.6</v>
      </c>
      <c r="H16" s="64">
        <f>Table15313[[#This Row],[Novos Installs no App]]*Table15313[[#This Row],[Tx % Ativações]]</f>
        <v>72.525734967983766</v>
      </c>
      <c r="I16" s="63">
        <f t="shared" si="2"/>
        <v>0.3</v>
      </c>
      <c r="J16" s="64">
        <f t="shared" si="4"/>
        <v>0</v>
      </c>
      <c r="K16" s="63">
        <f t="shared" si="5"/>
        <v>0</v>
      </c>
      <c r="L16" s="62">
        <f>(Table15313[[#This Row],[Novos Personais Habilitados]]*Table15313[[#This Row],[Tx % de Conversão]])+(Table15313[[#This Row],[Cadastros Evento Presencial]]*Table15313[[#This Row],[Tx % Ativação Presencial]])</f>
        <v>21.75772049039513</v>
      </c>
      <c r="M16" s="62">
        <f>Table15313[[#This Row],[Novos Personais Ativados]]+M15</f>
        <v>205.92305934450371</v>
      </c>
      <c r="N16" s="65">
        <f>Table15313[[#This Row],[Investimento no Mês
 (Growth) // 5%]]/Table15313[[#This Row],[Novos Personais Ativados]]</f>
        <v>229.80348525973724</v>
      </c>
      <c r="O16" s="66">
        <v>0.06</v>
      </c>
      <c r="P16" s="67">
        <f>M15*Table15313[[#This Row],[Tx. % Churn]]</f>
        <v>11.049920331246513</v>
      </c>
      <c r="Q16" s="62">
        <f>Table15313[[#This Row],[Personais 
Totais]]-Table15313[[#This Row],[Qtde. Churn 
no Mês]]</f>
        <v>194.8731390132572</v>
      </c>
      <c r="R16" s="68">
        <v>15</v>
      </c>
      <c r="S16" s="61">
        <f t="shared" si="6"/>
        <v>295.95967052188212</v>
      </c>
      <c r="T16" s="76">
        <f>Table15313[[#This Row],[Média Alunos Estimada 
Total Personal]]*Table15313[[#This Row],[Ticket Médio Aluno Personal]]</f>
        <v>4439.395057828232</v>
      </c>
      <c r="U16" s="62">
        <f>Table15313[[#This Row],[Personais 
Ativos Mês]]+(Table15313[[#This Row],[Personais 
Ativos Mês]]*Table15313[[#This Row],[Média Alunos Estimada 
Total Personal]])</f>
        <v>3117.9702242121152</v>
      </c>
      <c r="V16" s="77">
        <f>Table15313[[#This Row],[Média Faturamento
Estimada Personal]]*Q15</f>
        <v>795923.97044762119</v>
      </c>
      <c r="W16" s="71">
        <f>Table15313[[#This Row],[Faturamento Estimado]]*2%</f>
        <v>15918.479408952424</v>
      </c>
      <c r="X16" s="72">
        <f>Table15313[[#This Row],[Média Alunos Estimada 
Total Personal]]-(Table15313[[#This Row],[Tx. % Real Alunos 
não ativados]]*Table15313[[#This Row],[Média Alunos Estimada 
Total Personal]])</f>
        <v>14.25</v>
      </c>
      <c r="Y16" s="66">
        <v>0.05</v>
      </c>
      <c r="Z16" s="14">
        <f>Table15313[[#This Row],[Ticket Médio Aluno Personal]]*Table15313[[#This Row],[Média Real Alunos 
Ativos Personal]]</f>
        <v>4217.4253049368199</v>
      </c>
      <c r="AA16" s="62">
        <f>Table15313[[#This Row],[Média Real Alunos 
Ativos Personal]]*Table15313[[#This Row],[Personais 
Ativos Mês]]</f>
        <v>2776.9422309389151</v>
      </c>
      <c r="AB16" s="14">
        <f>Table15313[[#This Row],[Média Real por Personal]]*Q15</f>
        <v>756127.77192524006</v>
      </c>
      <c r="AC16" s="14">
        <f>Table15313[[#This Row],[Faturamento 
Real Bruto]]*2%</f>
        <v>15122.555438504802</v>
      </c>
      <c r="AD16" s="14">
        <f>AD15+Table15313[[#This Row],[Faturamento 
Real Bruto]]</f>
        <v>3956677.9810445243</v>
      </c>
      <c r="AE16" s="14">
        <f>AE15+Table15313[[#This Row],[Receita MUVX 
(2%)]]</f>
        <v>79133.55962089049</v>
      </c>
      <c r="AF16" s="14">
        <f>Table15313[[#This Row],[Investimento no Mês
 (Growth) // 5%]]+AF15</f>
        <v>43681.541499999999</v>
      </c>
      <c r="AG16" s="73">
        <f>Table15313[[#This Row],[Receita MUVX Acumulada]]/Table15313[[#This Row],[Investimento Acumulado]]</f>
        <v>1.8116018094482882</v>
      </c>
      <c r="AH16" s="73">
        <f>Table15313[[#This Row],[ROI]]+AH15</f>
        <v>20.300283578926571</v>
      </c>
    </row>
    <row r="17" spans="1:34" s="86" customFormat="1">
      <c r="A17" s="79"/>
      <c r="B17" s="80">
        <f>SUBTOTAL(109,B3:B16)</f>
        <v>43681.541499999999</v>
      </c>
      <c r="C17" s="80">
        <f>SUBTOTAL(101,C3:C16)</f>
        <v>13.105040557246058</v>
      </c>
      <c r="D17" s="81">
        <f>SUBTOTAL(109,D3:D16)</f>
        <v>4411.5457428313221</v>
      </c>
      <c r="E17" s="82">
        <f>AVERAGE(E3:E16)</f>
        <v>0.25428571428571423</v>
      </c>
      <c r="F17" s="81">
        <f>Table15313[[#This Row],[Novos Cadastros 
LP]]*Table15313[[#This Row],[Tx. % Install]]</f>
        <v>1121.7930603199645</v>
      </c>
      <c r="G17" s="82">
        <f t="shared" si="1"/>
        <v>0.53571428571428559</v>
      </c>
      <c r="H17" s="81">
        <f>Table15313[[#This Row],[Novos Installs no App]]*Table15313[[#This Row],[Tx % Ativações]]</f>
        <v>600.9605680285523</v>
      </c>
      <c r="I17" s="82">
        <f t="shared" si="2"/>
        <v>0.32857142857142846</v>
      </c>
      <c r="J17" s="82"/>
      <c r="K17" s="82"/>
      <c r="L17" s="83">
        <f>SUBTOTAL(109,L3:L16)</f>
        <v>205.92305934450371</v>
      </c>
      <c r="M17" s="83">
        <f>AVERAGE(M3:M16)</f>
        <v>86.640036047088259</v>
      </c>
      <c r="N17" s="80" t="e">
        <f>SUBTOTAL(101,N3:N16)</f>
        <v>#DIV/0!</v>
      </c>
      <c r="O17" s="84">
        <f>AVERAGE(O3:O16)</f>
        <v>2.571428571428571E-2</v>
      </c>
      <c r="P17" s="83">
        <f>SUBTOTAL(109,P3:P16)</f>
        <v>32.485006321169152</v>
      </c>
      <c r="Q17" s="83">
        <f>Q16</f>
        <v>194.8731390132572</v>
      </c>
      <c r="R17" s="83">
        <f>AVERAGE(R3:R16)</f>
        <v>15</v>
      </c>
      <c r="S17" s="85">
        <f>Table15313[[#This Row],[Média Faturamento
Estimada Personal]]/Table15313[[#This Row],[Média Alunos Estimada 
Total Personal]]</f>
        <v>251.90031228433662</v>
      </c>
      <c r="T17" s="80">
        <f>SUBTOTAL(101,T3:T16)</f>
        <v>3778.5046842650495</v>
      </c>
      <c r="U17" s="83">
        <f>Table15313[[#This Row],[Personais 
Ativos Mês]]+(Table15313[[#This Row],[Personais 
Ativos Mês]]*Table15313[[#This Row],[Média Alunos Estimada 
Total Personal]])</f>
        <v>3117.9702242121152</v>
      </c>
      <c r="V17" s="85">
        <f>SUBTOTAL(109,V3:V16)</f>
        <v>4164924.1905731834</v>
      </c>
      <c r="W17" s="85">
        <f>Table15313[[#This Row],[Faturamento Estimado]]*2%</f>
        <v>83298.483811463666</v>
      </c>
      <c r="X17" s="83"/>
      <c r="Y17" s="83"/>
      <c r="Z17" s="85">
        <f>AVERAGE(Z4:Z16)</f>
        <v>3678.200946209628</v>
      </c>
      <c r="AA17" s="62"/>
      <c r="AB17" s="80">
        <f>SUBTOTAL(109,AB3:AB16)</f>
        <v>3956677.9810445243</v>
      </c>
      <c r="AC17" s="80">
        <f>SUBTOTAL(109,AC3:AC16)</f>
        <v>79133.55962089049</v>
      </c>
      <c r="AD17" s="80"/>
    </row>
    <row r="18" spans="1:34">
      <c r="A18" s="87"/>
      <c r="D18" s="15"/>
      <c r="E18" s="88"/>
      <c r="F18" s="62"/>
      <c r="G18" s="88">
        <f t="shared" si="1"/>
        <v>0</v>
      </c>
      <c r="H18" s="62"/>
      <c r="I18" s="88">
        <f t="shared" si="2"/>
        <v>0</v>
      </c>
      <c r="J18" s="88"/>
      <c r="K18" s="88"/>
      <c r="S18" s="15"/>
      <c r="U18" s="15"/>
      <c r="V18" s="15"/>
      <c r="W18" s="15"/>
      <c r="X18" s="62"/>
      <c r="AA18" s="83"/>
    </row>
    <row r="19" spans="1:34">
      <c r="A19" s="87"/>
      <c r="C19" s="89" t="s">
        <v>253</v>
      </c>
      <c r="D19" s="90">
        <f>D17/130000</f>
        <v>3.3934967252548631E-2</v>
      </c>
      <c r="E19" s="91"/>
      <c r="F19" s="92">
        <f>Table15313[[#This Row],[Novos Cadastros 
LP]]*Table15313[[#This Row],[Tx. % Install]]</f>
        <v>0</v>
      </c>
      <c r="G19" s="91">
        <f t="shared" si="1"/>
        <v>0</v>
      </c>
      <c r="H19" s="92">
        <f>Table15313[[#This Row],[Novos Installs no App]]*Table15313[[#This Row],[Tx % Ativações]]</f>
        <v>0</v>
      </c>
      <c r="I19" s="91">
        <f t="shared" si="2"/>
        <v>0</v>
      </c>
      <c r="J19" s="91"/>
      <c r="K19" s="91"/>
      <c r="L19" s="90"/>
      <c r="P19" s="89" t="s">
        <v>253</v>
      </c>
      <c r="Q19" s="90">
        <f>Q17/130000</f>
        <v>1.4990241462558246E-3</v>
      </c>
      <c r="S19" s="15"/>
      <c r="U19" s="15"/>
      <c r="V19" s="15"/>
      <c r="W19" s="15"/>
      <c r="X19" s="62"/>
      <c r="AA19" s="62"/>
      <c r="AB19" s="93"/>
      <c r="AC19" s="89"/>
    </row>
    <row r="20" spans="1:34">
      <c r="A20" s="87"/>
      <c r="D20" s="15"/>
      <c r="F20" s="91"/>
      <c r="G20" s="90"/>
      <c r="J20" s="89"/>
      <c r="K20" s="90"/>
      <c r="M20" s="15"/>
      <c r="O20" s="15"/>
      <c r="P20" s="15"/>
      <c r="Q20" s="15"/>
      <c r="R20" s="62"/>
      <c r="T20" s="15"/>
      <c r="U20" s="62"/>
      <c r="V20" s="93"/>
      <c r="W20" s="89"/>
    </row>
    <row r="21" spans="1:34">
      <c r="A21" s="87"/>
      <c r="C21" s="185" t="s">
        <v>213</v>
      </c>
      <c r="D21" s="185"/>
      <c r="E21" s="186" t="s">
        <v>214</v>
      </c>
      <c r="F21" s="186"/>
      <c r="G21" s="187" t="s">
        <v>215</v>
      </c>
      <c r="H21" s="187"/>
      <c r="I21" s="186" t="s">
        <v>216</v>
      </c>
      <c r="J21" s="186"/>
      <c r="K21" s="186"/>
      <c r="L21" s="186"/>
      <c r="M21" s="186"/>
      <c r="N21" s="188" t="s">
        <v>217</v>
      </c>
      <c r="O21" s="188"/>
      <c r="P21" s="188"/>
      <c r="Q21" s="188"/>
      <c r="X21" s="184" t="s">
        <v>218</v>
      </c>
      <c r="Y21" s="184"/>
      <c r="Z21" s="184"/>
      <c r="AA21" s="184"/>
      <c r="AB21" s="184"/>
      <c r="AC21" s="184"/>
      <c r="AD21" s="184"/>
    </row>
    <row r="22" spans="1:34" s="59" customFormat="1" ht="54" customHeight="1">
      <c r="A22" s="54" t="s">
        <v>219</v>
      </c>
      <c r="B22" s="54" t="s">
        <v>254</v>
      </c>
      <c r="C22" s="55" t="s">
        <v>255</v>
      </c>
      <c r="D22" s="55" t="s">
        <v>222</v>
      </c>
      <c r="E22" s="56" t="s">
        <v>223</v>
      </c>
      <c r="F22" s="56" t="s">
        <v>224</v>
      </c>
      <c r="G22" s="57" t="s">
        <v>225</v>
      </c>
      <c r="H22" s="57" t="s">
        <v>226</v>
      </c>
      <c r="I22" s="56" t="s">
        <v>227</v>
      </c>
      <c r="J22" s="56" t="s">
        <v>228</v>
      </c>
      <c r="K22" s="56" t="s">
        <v>229</v>
      </c>
      <c r="L22" s="94" t="s">
        <v>230</v>
      </c>
      <c r="M22" s="94" t="s">
        <v>231</v>
      </c>
      <c r="N22" s="54" t="s">
        <v>232</v>
      </c>
      <c r="O22" s="54" t="s">
        <v>233</v>
      </c>
      <c r="P22" s="54" t="s">
        <v>234</v>
      </c>
      <c r="Q22" s="54" t="s">
        <v>235</v>
      </c>
      <c r="R22" s="54" t="s">
        <v>236</v>
      </c>
      <c r="S22" s="54" t="s">
        <v>237</v>
      </c>
      <c r="T22" s="54" t="s">
        <v>238</v>
      </c>
      <c r="U22" s="54" t="s">
        <v>239</v>
      </c>
      <c r="V22" s="54" t="s">
        <v>240</v>
      </c>
      <c r="W22" s="54" t="s">
        <v>241</v>
      </c>
      <c r="X22" s="55" t="s">
        <v>242</v>
      </c>
      <c r="Y22" s="55" t="s">
        <v>243</v>
      </c>
      <c r="Z22" s="55" t="s">
        <v>244</v>
      </c>
      <c r="AA22" s="55" t="s">
        <v>245</v>
      </c>
      <c r="AB22" s="55" t="s">
        <v>246</v>
      </c>
      <c r="AC22" s="55" t="s">
        <v>247</v>
      </c>
      <c r="AD22" s="55" t="s">
        <v>248</v>
      </c>
      <c r="AE22" s="58" t="s">
        <v>249</v>
      </c>
      <c r="AF22" s="58" t="s">
        <v>250</v>
      </c>
      <c r="AG22" s="54" t="s">
        <v>251</v>
      </c>
      <c r="AH22" s="54" t="s">
        <v>252</v>
      </c>
    </row>
    <row r="23" spans="1:34">
      <c r="A23" s="78">
        <v>46023</v>
      </c>
      <c r="B23" s="61">
        <f>B64*0.15</f>
        <v>4700.7389999999996</v>
      </c>
      <c r="C23" s="61">
        <f>C64</f>
        <v>12</v>
      </c>
      <c r="D23" s="62">
        <f>Table153714[[#This Row],[Investimento no Mês 
(Growth) // 15%]]/Table153714[[#This Row],[CPL 
(cadastro)]]</f>
        <v>391.72824999999995</v>
      </c>
      <c r="E23" s="63">
        <f t="shared" ref="E23:E36" si="8">E64</f>
        <v>0.06</v>
      </c>
      <c r="F23" s="64">
        <f>Table153714[[#This Row],[Novos Cadastros 
LP]]*Table153714[[#This Row],[Tx. % Install]]</f>
        <v>23.503694999999997</v>
      </c>
      <c r="G23" s="63">
        <f t="shared" ref="G23:G39" si="9">G64</f>
        <v>0</v>
      </c>
      <c r="H23" s="64">
        <f>Table153714[[#This Row],[Novos Installs no App]]*Table153714[[#This Row],[Tx % Ativações]]</f>
        <v>0</v>
      </c>
      <c r="I23" s="63">
        <f t="shared" ref="I23:I39" si="10">I64</f>
        <v>0.7</v>
      </c>
      <c r="J23" s="64">
        <f t="shared" ref="J23:J39" si="11">J64*50%</f>
        <v>0</v>
      </c>
      <c r="K23" s="63">
        <f t="shared" ref="K23:K39" si="12">K64</f>
        <v>0</v>
      </c>
      <c r="L23" s="62">
        <f>(Table153714[[#This Row],[Novos Personais Habilitados]]*Table153714[[#This Row],[Tx % de Conversão]])+(Table153714[[#This Row],[Cadastros Evento Presencial]]*Table153714[[#This Row],[Tx % Ativação Presencial]])</f>
        <v>0</v>
      </c>
      <c r="M23" s="62">
        <f>Table153714[[#This Row],[Novos Personais Ativados]]</f>
        <v>0</v>
      </c>
      <c r="N23" s="65" t="e">
        <f>Table153714[[#This Row],[Investimento no Mês 
(Growth) // 15%]]/Table153714[[#This Row],[Novos Personais Ativados]]</f>
        <v>#DIV/0!</v>
      </c>
      <c r="O23" s="66">
        <v>0</v>
      </c>
      <c r="P23" s="67">
        <f>Table153714[[#This Row],[Personais 
Totais]]*Table153714[[#This Row],[Tx. % Churn]]</f>
        <v>0</v>
      </c>
      <c r="Q23" s="62">
        <f>Table153714[[#This Row],[Personais 
Totais]]-Table153714[[#This Row],[Qtde. Churn 
no Mês]]</f>
        <v>0</v>
      </c>
      <c r="R23" s="68">
        <v>15</v>
      </c>
      <c r="S23" s="69">
        <v>0</v>
      </c>
      <c r="T23" s="70">
        <v>0</v>
      </c>
      <c r="U23" s="62">
        <f>Table153714[[#This Row],[Personais 
Ativos Mês]]+(Table153714[[#This Row],[Personais 
Ativos Mês]]*Table153714[[#This Row],[Média Alunos Estimada 
Total Personal]])</f>
        <v>0</v>
      </c>
      <c r="V23" s="71">
        <v>0</v>
      </c>
      <c r="W23" s="71">
        <v>0</v>
      </c>
      <c r="X23" s="72">
        <f>Table153714[[#This Row],[Média Alunos Estimada 
Total Personal]]-(Table153714[[#This Row],[Tx. % Real Alunos 
não ativados]]*Table153714[[#This Row],[Média Alunos Estimada 
Total Personal]])</f>
        <v>9.75</v>
      </c>
      <c r="Y23" s="66">
        <v>0.35</v>
      </c>
      <c r="Z23" s="14" t="e">
        <f>AB23/Q23</f>
        <v>#DIV/0!</v>
      </c>
      <c r="AA23" s="62">
        <f>Table153714[[#This Row],[Média Real Alunos 
Ativos Personal]]*Table153714[[#This Row],[Personais 
Ativos Mês]]</f>
        <v>0</v>
      </c>
      <c r="AB23" s="14">
        <v>0</v>
      </c>
      <c r="AC23" s="14">
        <v>0</v>
      </c>
      <c r="AD23" s="14">
        <f>Table153714[[#This Row],[Faturamento 
Real Bruto]]</f>
        <v>0</v>
      </c>
      <c r="AE23" s="14">
        <v>0</v>
      </c>
      <c r="AF23" s="14">
        <f>Table153714[[#This Row],[Investimento no Mês 
(Growth) // 15%]]</f>
        <v>4700.7389999999996</v>
      </c>
      <c r="AG23" s="73">
        <v>0</v>
      </c>
      <c r="AH23" s="74">
        <v>0</v>
      </c>
    </row>
    <row r="24" spans="1:34">
      <c r="A24" s="60">
        <v>46054</v>
      </c>
      <c r="B24" s="61">
        <f t="shared" ref="B24:B36" si="13">B65*0.15</f>
        <v>793.88549999999998</v>
      </c>
      <c r="C24" s="61">
        <f t="shared" ref="C24:C36" si="14">C65</f>
        <v>14</v>
      </c>
      <c r="D24" s="75">
        <v>1031</v>
      </c>
      <c r="E24" s="63">
        <f t="shared" si="8"/>
        <v>0.2</v>
      </c>
      <c r="F24" s="64">
        <f>Table153714[[#This Row],[Novos Cadastros 
LP]]*Table153714[[#This Row],[Tx. % Install]]</f>
        <v>206.20000000000002</v>
      </c>
      <c r="G24" s="63">
        <f t="shared" si="9"/>
        <v>0.5</v>
      </c>
      <c r="H24" s="64">
        <f>Table153714[[#This Row],[Novos Installs no App]]*Table153714[[#This Row],[Tx % Ativações]]</f>
        <v>103.10000000000001</v>
      </c>
      <c r="I24" s="63">
        <f t="shared" si="10"/>
        <v>0.3</v>
      </c>
      <c r="J24" s="64">
        <f t="shared" si="11"/>
        <v>0</v>
      </c>
      <c r="K24" s="63">
        <f t="shared" si="12"/>
        <v>0</v>
      </c>
      <c r="L24" s="62">
        <f>(Table153714[[#This Row],[Novos Personais Habilitados]]*Table153714[[#This Row],[Tx % de Conversão]])+(Table153714[[#This Row],[Cadastros Evento Presencial]]*Table153714[[#This Row],[Tx % Ativação Presencial]])</f>
        <v>30.93</v>
      </c>
      <c r="M24" s="62">
        <f>Table153714[[#This Row],[Novos Personais Ativados]]+M23</f>
        <v>30.93</v>
      </c>
      <c r="N24" s="65">
        <f>Table153714[[#This Row],[Investimento no Mês 
(Growth) // 15%]]/Table153714[[#This Row],[Novos Personais Ativados]]</f>
        <v>25.667167798254123</v>
      </c>
      <c r="O24" s="66">
        <v>0.02</v>
      </c>
      <c r="P24" s="67">
        <f>M23*Table153714[[#This Row],[Tx. % Churn]]</f>
        <v>0</v>
      </c>
      <c r="Q24" s="62">
        <f>Table153714[[#This Row],[Personais 
Totais]]-Table153714[[#This Row],[Qtde. Churn 
no Mês]]</f>
        <v>30.93</v>
      </c>
      <c r="R24" s="68">
        <v>15</v>
      </c>
      <c r="S24" s="61">
        <v>700</v>
      </c>
      <c r="T24" s="76">
        <f>Table153714[[#This Row],[Média Alunos Estimada 
Total Personal]]*Table153714[[#This Row],[Ticket Médio Aluno Personal]]</f>
        <v>10500</v>
      </c>
      <c r="U24" s="62">
        <f>Table153714[[#This Row],[Personais 
Ativos Mês]]+(Table153714[[#This Row],[Personais 
Ativos Mês]]*Table153714[[#This Row],[Média Alunos Estimada 
Total Personal]])</f>
        <v>494.88</v>
      </c>
      <c r="V24" s="77">
        <f>Table153714[[#This Row],[Média Faturamento
Estimada Personal]]*Q23</f>
        <v>0</v>
      </c>
      <c r="W24" s="77">
        <f>Table153714[[#This Row],[Faturamento Estimado]]*2%</f>
        <v>0</v>
      </c>
      <c r="X24" s="72">
        <f>Table153714[[#This Row],[Média Alunos Estimada 
Total Personal]]-(Table153714[[#This Row],[Tx. % Real Alunos 
não ativados]]*Table153714[[#This Row],[Média Alunos Estimada 
Total Personal]])</f>
        <v>4.5</v>
      </c>
      <c r="Y24" s="66">
        <v>0.7</v>
      </c>
      <c r="Z24" s="14">
        <f>Table153714[[#This Row],[Ticket Médio Aluno Personal]]*Table153714[[#This Row],[Média Real Alunos 
Ativos Personal]]</f>
        <v>3150</v>
      </c>
      <c r="AA24" s="62">
        <f>Table153714[[#This Row],[Média Real Alunos 
Ativos Personal]]*Table153714[[#This Row],[Personais 
Ativos Mês]]</f>
        <v>139.185</v>
      </c>
      <c r="AB24" s="14">
        <f>Table153714[[#This Row],[Média Real por Personal]]*Q23</f>
        <v>0</v>
      </c>
      <c r="AC24" s="14">
        <f>Table153714[[#This Row],[Faturamento 
Real Bruto]]*2%</f>
        <v>0</v>
      </c>
      <c r="AD24" s="14">
        <f>Table153714[[#This Row],[Faturamento 
Real Bruto]]+AB23</f>
        <v>0</v>
      </c>
      <c r="AE24" s="14">
        <f>Table153714[[#This Row],[Receita MUVX 
(2%)]]+AC23</f>
        <v>0</v>
      </c>
      <c r="AF24" s="14">
        <f>Table153714[[#This Row],[Investimento no Mês 
(Growth) // 15%]]+AF23</f>
        <v>5494.6244999999999</v>
      </c>
      <c r="AG24" s="73">
        <f>Table153714[[#This Row],[Receita MUVX Acumulada]]/Table153714[[#This Row],[Investimento Acumulado]]</f>
        <v>0</v>
      </c>
      <c r="AH24" s="73">
        <f>Table153714[[#This Row],[ROI]]+AH23</f>
        <v>0</v>
      </c>
    </row>
    <row r="25" spans="1:34">
      <c r="A25" s="78">
        <v>46082</v>
      </c>
      <c r="B25" s="61">
        <f t="shared" si="13"/>
        <v>150</v>
      </c>
      <c r="C25" s="61">
        <f t="shared" si="14"/>
        <v>13.86</v>
      </c>
      <c r="D25" s="62">
        <f>Table153714[[#This Row],[Investimento no Mês 
(Growth) // 15%]]/Table153714[[#This Row],[CPL 
(cadastro)]]</f>
        <v>10.822510822510823</v>
      </c>
      <c r="E25" s="63">
        <f t="shared" si="8"/>
        <v>0.2</v>
      </c>
      <c r="F25" s="64">
        <f>Table153714[[#This Row],[Novos Cadastros 
LP]]*Table153714[[#This Row],[Tx. % Install]]</f>
        <v>2.1645021645021649</v>
      </c>
      <c r="G25" s="63">
        <f t="shared" si="9"/>
        <v>0.5</v>
      </c>
      <c r="H25" s="64">
        <f>Table153714[[#This Row],[Novos Installs no App]]*Table153714[[#This Row],[Tx % Ativações]]</f>
        <v>1.0822510822510825</v>
      </c>
      <c r="I25" s="63">
        <f t="shared" si="10"/>
        <v>0.3</v>
      </c>
      <c r="J25" s="64">
        <f t="shared" si="11"/>
        <v>0</v>
      </c>
      <c r="K25" s="63">
        <f t="shared" si="12"/>
        <v>0</v>
      </c>
      <c r="L25" s="62">
        <f>(Table153714[[#This Row],[Novos Personais Habilitados]]*Table153714[[#This Row],[Tx % de Conversão]])+(Table153714[[#This Row],[Cadastros Evento Presencial]]*Table153714[[#This Row],[Tx % Ativação Presencial]])</f>
        <v>0.32467532467532473</v>
      </c>
      <c r="M25" s="62">
        <f>Table153714[[#This Row],[Novos Personais Ativados]]+M24</f>
        <v>31.254675324675325</v>
      </c>
      <c r="N25" s="65">
        <f>Table153714[[#This Row],[Investimento no Mês 
(Growth) // 15%]]/Table153714[[#This Row],[Novos Personais Ativados]]</f>
        <v>461.99999999999994</v>
      </c>
      <c r="O25" s="66">
        <v>0.03</v>
      </c>
      <c r="P25" s="67">
        <f>M24*Table153714[[#This Row],[Tx. % Churn]]</f>
        <v>0.92789999999999995</v>
      </c>
      <c r="Q25" s="62">
        <f>Table153714[[#This Row],[Personais 
Totais]]-Table153714[[#This Row],[Qtde. Churn 
no Mês]]</f>
        <v>30.326775324675324</v>
      </c>
      <c r="R25" s="68">
        <v>15</v>
      </c>
      <c r="S25" s="61">
        <f>S24*1.005</f>
        <v>703.49999999999989</v>
      </c>
      <c r="T25" s="76">
        <f>Table153714[[#This Row],[Média Alunos Estimada 
Total Personal]]*Table153714[[#This Row],[Ticket Médio Aluno Personal]]</f>
        <v>10552.499999999998</v>
      </c>
      <c r="U25" s="62">
        <f>Table153714[[#This Row],[Personais 
Ativos Mês]]+(Table153714[[#This Row],[Personais 
Ativos Mês]]*Table153714[[#This Row],[Média Alunos Estimada 
Total Personal]])</f>
        <v>485.22840519480519</v>
      </c>
      <c r="V25" s="77">
        <f>Table153714[[#This Row],[Média Faturamento
Estimada Personal]]*Q24</f>
        <v>326388.82499999995</v>
      </c>
      <c r="W25" s="77">
        <f>Table153714[[#This Row],[Faturamento Estimado]]*2%</f>
        <v>6527.776499999999</v>
      </c>
      <c r="X25" s="72">
        <f>Table153714[[#This Row],[Média Alunos Estimada 
Total Personal]]-(Table153714[[#This Row],[Tx. % Real Alunos 
não ativados]]*Table153714[[#This Row],[Média Alunos Estimada 
Total Personal]])</f>
        <v>14.25</v>
      </c>
      <c r="Y25" s="66">
        <v>0.05</v>
      </c>
      <c r="Z25" s="14">
        <f>Table153714[[#This Row],[Ticket Médio Aluno Personal]]*Table153714[[#This Row],[Média Real Alunos 
Ativos Personal]]</f>
        <v>10024.874999999998</v>
      </c>
      <c r="AA25" s="62">
        <f>Table153714[[#This Row],[Média Real Alunos 
Ativos Personal]]*Table153714[[#This Row],[Personais 
Ativos Mês]]</f>
        <v>432.15654837662339</v>
      </c>
      <c r="AB25" s="14">
        <f>Table153714[[#This Row],[Média Real por Personal]]*Q24</f>
        <v>310069.38374999992</v>
      </c>
      <c r="AC25" s="14">
        <f>Table153714[[#This Row],[Faturamento 
Real Bruto]]*2%</f>
        <v>6201.3876749999981</v>
      </c>
      <c r="AD25" s="14">
        <f>AD24+Table153714[[#This Row],[Faturamento 
Real Bruto]]</f>
        <v>310069.38374999992</v>
      </c>
      <c r="AE25" s="14">
        <f>AE24+Table153714[[#This Row],[Receita MUVX 
(2%)]]</f>
        <v>6201.3876749999981</v>
      </c>
      <c r="AF25" s="14">
        <f>Table153714[[#This Row],[Investimento no Mês 
(Growth) // 15%]]+AF24</f>
        <v>5644.6244999999999</v>
      </c>
      <c r="AG25" s="73">
        <f>Table153714[[#This Row],[Receita MUVX Acumulada]]/Table153714[[#This Row],[Investimento Acumulado]]</f>
        <v>1.0986359987276386</v>
      </c>
      <c r="AH25" s="73">
        <f>Table153714[[#This Row],[ROI]]+AH24</f>
        <v>1.0986359987276386</v>
      </c>
    </row>
    <row r="26" spans="1:34">
      <c r="A26" s="60">
        <v>46113</v>
      </c>
      <c r="B26" s="61">
        <f t="shared" si="13"/>
        <v>150</v>
      </c>
      <c r="C26" s="61">
        <f t="shared" si="14"/>
        <v>13.721399999999999</v>
      </c>
      <c r="D26" s="62">
        <f>Table153714[[#This Row],[Investimento no Mês 
(Growth) // 15%]]/Table153714[[#This Row],[CPL 
(cadastro)]]</f>
        <v>10.931829113647296</v>
      </c>
      <c r="E26" s="63">
        <f t="shared" si="8"/>
        <v>0.2</v>
      </c>
      <c r="F26" s="64">
        <f>Table153714[[#This Row],[Novos Cadastros 
LP]]*Table153714[[#This Row],[Tx. % Install]]</f>
        <v>2.1863658227294596</v>
      </c>
      <c r="G26" s="63">
        <f t="shared" si="9"/>
        <v>0.5</v>
      </c>
      <c r="H26" s="64">
        <f>Table153714[[#This Row],[Novos Installs no App]]*Table153714[[#This Row],[Tx % Ativações]]</f>
        <v>1.0931829113647298</v>
      </c>
      <c r="I26" s="63">
        <f t="shared" si="10"/>
        <v>0.3</v>
      </c>
      <c r="J26" s="64">
        <f t="shared" si="11"/>
        <v>0</v>
      </c>
      <c r="K26" s="63">
        <f t="shared" si="12"/>
        <v>0</v>
      </c>
      <c r="L26" s="62">
        <f>(Table153714[[#This Row],[Novos Personais Habilitados]]*Table153714[[#This Row],[Tx % de Conversão]])+(Table153714[[#This Row],[Cadastros Evento Presencial]]*Table153714[[#This Row],[Tx % Ativação Presencial]])</f>
        <v>0.32795487340941892</v>
      </c>
      <c r="M26" s="62">
        <f>Table153714[[#This Row],[Novos Personais Ativados]]+M25</f>
        <v>31.582630198084743</v>
      </c>
      <c r="N26" s="65">
        <f>Table153714[[#This Row],[Investimento no Mês 
(Growth) // 15%]]/Table153714[[#This Row],[Novos Personais Ativados]]</f>
        <v>457.37999999999994</v>
      </c>
      <c r="O26" s="66">
        <v>0.02</v>
      </c>
      <c r="P26" s="67">
        <f>M25*Table153714[[#This Row],[Tx. % Churn]]</f>
        <v>0.62509350649350648</v>
      </c>
      <c r="Q26" s="62">
        <f>Table153714[[#This Row],[Personais 
Totais]]-Table153714[[#This Row],[Qtde. Churn 
no Mês]]</f>
        <v>30.957536691591237</v>
      </c>
      <c r="R26" s="68">
        <v>15</v>
      </c>
      <c r="S26" s="61">
        <f t="shared" ref="S26:S36" si="15">S25*1.015</f>
        <v>714.05249999999978</v>
      </c>
      <c r="T26" s="76">
        <f>Table153714[[#This Row],[Média Alunos Estimada 
Total Personal]]*Table153714[[#This Row],[Ticket Médio Aluno Personal]]</f>
        <v>10710.787499999997</v>
      </c>
      <c r="U26" s="62">
        <f>Table153714[[#This Row],[Personais 
Ativos Mês]]+(Table153714[[#This Row],[Personais 
Ativos Mês]]*Table153714[[#This Row],[Média Alunos Estimada 
Total Personal]])</f>
        <v>495.32058706545979</v>
      </c>
      <c r="V26" s="77">
        <f>Table153714[[#This Row],[Média Faturamento
Estimada Personal]]*Q25</f>
        <v>324823.64606284082</v>
      </c>
      <c r="W26" s="77">
        <f>Table153714[[#This Row],[Faturamento Estimado]]*2%</f>
        <v>6496.4729212568163</v>
      </c>
      <c r="X26" s="72">
        <f>Table153714[[#This Row],[Média Alunos Estimada 
Total Personal]]-(Table153714[[#This Row],[Tx. % Real Alunos 
não ativados]]*Table153714[[#This Row],[Média Alunos Estimada 
Total Personal]])</f>
        <v>14.25</v>
      </c>
      <c r="Y26" s="66">
        <v>0.05</v>
      </c>
      <c r="Z26" s="14">
        <f>Table153714[[#This Row],[Ticket Médio Aluno Personal]]*Table153714[[#This Row],[Média Real Alunos 
Ativos Personal]]</f>
        <v>10175.248124999996</v>
      </c>
      <c r="AA26" s="62">
        <f>Table153714[[#This Row],[Média Real Alunos 
Ativos Personal]]*Table153714[[#This Row],[Personais 
Ativos Mês]]</f>
        <v>441.14489785517515</v>
      </c>
      <c r="AB26" s="14">
        <f>Table153714[[#This Row],[Média Real por Personal]]*Q25</f>
        <v>308582.46375969873</v>
      </c>
      <c r="AC26" s="14">
        <f>Table153714[[#This Row],[Faturamento 
Real Bruto]]*2%</f>
        <v>6171.649275193975</v>
      </c>
      <c r="AD26" s="14">
        <f>AD25+Table153714[[#This Row],[Faturamento 
Real Bruto]]</f>
        <v>618651.84750969871</v>
      </c>
      <c r="AE26" s="14">
        <f>AE25+Table153714[[#This Row],[Receita MUVX 
(2%)]]</f>
        <v>12373.036950193973</v>
      </c>
      <c r="AF26" s="14">
        <f>Table153714[[#This Row],[Investimento no Mês 
(Growth) // 15%]]+AF25</f>
        <v>5794.6244999999999</v>
      </c>
      <c r="AG26" s="73">
        <f>Table153714[[#This Row],[Receita MUVX Acumulada]]/Table153714[[#This Row],[Investimento Acumulado]]</f>
        <v>2.1352612149750123</v>
      </c>
      <c r="AH26" s="73">
        <f>Table153714[[#This Row],[ROI]]+AH25</f>
        <v>3.2338972137026509</v>
      </c>
    </row>
    <row r="27" spans="1:34">
      <c r="A27" s="78">
        <v>46143</v>
      </c>
      <c r="B27" s="61">
        <f t="shared" si="13"/>
        <v>750</v>
      </c>
      <c r="C27" s="61">
        <f t="shared" si="14"/>
        <v>13.584185999999999</v>
      </c>
      <c r="D27" s="62">
        <f>Table153714[[#This Row],[Investimento no Mês 
(Growth) // 15%]]/Table153714[[#This Row],[CPL 
(cadastro)]]</f>
        <v>55.211258149733823</v>
      </c>
      <c r="E27" s="63">
        <f t="shared" si="8"/>
        <v>0.2</v>
      </c>
      <c r="F27" s="64">
        <f>Table153714[[#This Row],[Novos Cadastros 
LP]]*Table153714[[#This Row],[Tx. % Install]]</f>
        <v>11.042251629946765</v>
      </c>
      <c r="G27" s="63">
        <f t="shared" si="9"/>
        <v>0.6</v>
      </c>
      <c r="H27" s="64">
        <f>Table153714[[#This Row],[Novos Installs no App]]*Table153714[[#This Row],[Tx % Ativações]]</f>
        <v>6.6253509779680586</v>
      </c>
      <c r="I27" s="63">
        <f t="shared" si="10"/>
        <v>0.3</v>
      </c>
      <c r="J27" s="64">
        <f t="shared" si="11"/>
        <v>0</v>
      </c>
      <c r="K27" s="63">
        <f t="shared" si="12"/>
        <v>0</v>
      </c>
      <c r="L27" s="62">
        <f>(Table153714[[#This Row],[Novos Personais Habilitados]]*Table153714[[#This Row],[Tx % de Conversão]])+(Table153714[[#This Row],[Cadastros Evento Presencial]]*Table153714[[#This Row],[Tx % Ativação Presencial]])</f>
        <v>1.9876052933904176</v>
      </c>
      <c r="M27" s="62">
        <f>Table153714[[#This Row],[Novos Personais Ativados]]+M26</f>
        <v>33.57023549147516</v>
      </c>
      <c r="N27" s="65">
        <f>Table153714[[#This Row],[Investimento no Mês 
(Growth) // 15%]]/Table153714[[#This Row],[Novos Personais Ativados]]</f>
        <v>377.33849999999995</v>
      </c>
      <c r="O27" s="66">
        <v>0.02</v>
      </c>
      <c r="P27" s="67">
        <f>M26*Table153714[[#This Row],[Tx. % Churn]]</f>
        <v>0.63165260396169487</v>
      </c>
      <c r="Q27" s="62">
        <f>Table153714[[#This Row],[Personais 
Totais]]-Table153714[[#This Row],[Qtde. Churn 
no Mês]]</f>
        <v>32.938582887513462</v>
      </c>
      <c r="R27" s="68">
        <v>15</v>
      </c>
      <c r="S27" s="61">
        <f t="shared" si="15"/>
        <v>724.76328749999971</v>
      </c>
      <c r="T27" s="76">
        <f>Table153714[[#This Row],[Média Alunos Estimada 
Total Personal]]*Table153714[[#This Row],[Ticket Médio Aluno Personal]]</f>
        <v>10871.449312499995</v>
      </c>
      <c r="U27" s="62">
        <f>Table153714[[#This Row],[Personais 
Ativos Mês]]+(Table153714[[#This Row],[Personais 
Ativos Mês]]*Table153714[[#This Row],[Média Alunos Estimada 
Total Personal]])</f>
        <v>527.01732620021539</v>
      </c>
      <c r="V27" s="77">
        <f>Table153714[[#This Row],[Média Faturamento
Estimada Personal]]*Q26</f>
        <v>336553.29098249291</v>
      </c>
      <c r="W27" s="77">
        <f>Table153714[[#This Row],[Faturamento Estimado]]*2%</f>
        <v>6731.065819649858</v>
      </c>
      <c r="X27" s="72">
        <f>Table153714[[#This Row],[Média Alunos Estimada 
Total Personal]]-(Table153714[[#This Row],[Tx. % Real Alunos 
não ativados]]*Table153714[[#This Row],[Média Alunos Estimada 
Total Personal]])</f>
        <v>14.25</v>
      </c>
      <c r="Y27" s="66">
        <v>0.05</v>
      </c>
      <c r="Z27" s="14">
        <f>Table153714[[#This Row],[Ticket Médio Aluno Personal]]*Table153714[[#This Row],[Média Real Alunos 
Ativos Personal]]</f>
        <v>10327.876846874995</v>
      </c>
      <c r="AA27" s="62">
        <f>Table153714[[#This Row],[Média Real Alunos 
Ativos Personal]]*Table153714[[#This Row],[Personais 
Ativos Mês]]</f>
        <v>469.37480614706681</v>
      </c>
      <c r="AB27" s="14">
        <f>Table153714[[#This Row],[Média Real por Personal]]*Q26</f>
        <v>319725.62643336825</v>
      </c>
      <c r="AC27" s="14">
        <f>Table153714[[#This Row],[Faturamento 
Real Bruto]]*2%</f>
        <v>6394.5125286673647</v>
      </c>
      <c r="AD27" s="14">
        <f>AD26+Table153714[[#This Row],[Faturamento 
Real Bruto]]</f>
        <v>938377.47394306702</v>
      </c>
      <c r="AE27" s="14">
        <f>AE26+Table153714[[#This Row],[Receita MUVX 
(2%)]]</f>
        <v>18767.549478861336</v>
      </c>
      <c r="AF27" s="14">
        <f>Table153714[[#This Row],[Investimento no Mês 
(Growth) // 15%]]+AF26</f>
        <v>6544.6244999999999</v>
      </c>
      <c r="AG27" s="73">
        <f>Table153714[[#This Row],[Receita MUVX Acumulada]]/Table153714[[#This Row],[Investimento Acumulado]]</f>
        <v>2.8676281548103084</v>
      </c>
      <c r="AH27" s="73">
        <f>Table153714[[#This Row],[ROI]]+AH26</f>
        <v>6.1015253685129593</v>
      </c>
    </row>
    <row r="28" spans="1:34">
      <c r="A28" s="60">
        <v>46174</v>
      </c>
      <c r="B28" s="61">
        <f t="shared" si="13"/>
        <v>4500</v>
      </c>
      <c r="C28" s="61">
        <f t="shared" si="14"/>
        <v>13.44834414</v>
      </c>
      <c r="D28" s="62">
        <f>Table153714[[#This Row],[Investimento no Mês 
(Growth) // 15%]]/Table153714[[#This Row],[CPL 
(cadastro)]]</f>
        <v>334.61368575596254</v>
      </c>
      <c r="E28" s="63">
        <v>0.3</v>
      </c>
      <c r="F28" s="64">
        <f>Table153714[[#This Row],[Novos Cadastros 
LP]]*Table153714[[#This Row],[Tx. % Install]]</f>
        <v>100.38410572678876</v>
      </c>
      <c r="G28" s="63">
        <f t="shared" si="9"/>
        <v>0.6</v>
      </c>
      <c r="H28" s="64">
        <f>Table153714[[#This Row],[Novos Installs no App]]*Table153714[[#This Row],[Tx % Ativações]]</f>
        <v>60.230463436073251</v>
      </c>
      <c r="I28" s="63">
        <f t="shared" si="10"/>
        <v>0.3</v>
      </c>
      <c r="J28" s="64">
        <f t="shared" si="11"/>
        <v>0</v>
      </c>
      <c r="K28" s="63">
        <f t="shared" si="12"/>
        <v>0</v>
      </c>
      <c r="L28" s="62">
        <f>(Table153714[[#This Row],[Novos Personais Habilitados]]*Table153714[[#This Row],[Tx % de Conversão]])+(Table153714[[#This Row],[Cadastros Evento Presencial]]*Table153714[[#This Row],[Tx % Ativação Presencial]])</f>
        <v>18.069139030821976</v>
      </c>
      <c r="M28" s="62">
        <f>Table153714[[#This Row],[Novos Personais Ativados]]+M27</f>
        <v>51.639374522297132</v>
      </c>
      <c r="N28" s="65">
        <f>Table153714[[#This Row],[Investimento no Mês 
(Growth) // 15%]]/Table153714[[#This Row],[Novos Personais Ativados]]</f>
        <v>249.04340999999999</v>
      </c>
      <c r="O28" s="66">
        <v>0.04</v>
      </c>
      <c r="P28" s="67">
        <f>M27*Table153714[[#This Row],[Tx. % Churn]]</f>
        <v>1.3428094196590064</v>
      </c>
      <c r="Q28" s="62">
        <f>Table153714[[#This Row],[Personais 
Totais]]-Table153714[[#This Row],[Qtde. Churn 
no Mês]]</f>
        <v>50.296565102638127</v>
      </c>
      <c r="R28" s="68">
        <v>15</v>
      </c>
      <c r="S28" s="61">
        <f t="shared" si="15"/>
        <v>735.63473681249968</v>
      </c>
      <c r="T28" s="76">
        <f>Table153714[[#This Row],[Média Alunos Estimada 
Total Personal]]*Table153714[[#This Row],[Ticket Médio Aluno Personal]]</f>
        <v>11034.521052187496</v>
      </c>
      <c r="U28" s="62">
        <f>Table153714[[#This Row],[Personais 
Ativos Mês]]+(Table153714[[#This Row],[Personais 
Ativos Mês]]*Table153714[[#This Row],[Média Alunos Estimada 
Total Personal]])</f>
        <v>804.74504164221003</v>
      </c>
      <c r="V28" s="77">
        <f>Table153714[[#This Row],[Média Faturamento
Estimada Personal]]*Q27</f>
        <v>363461.48630149011</v>
      </c>
      <c r="W28" s="77">
        <f>Table153714[[#This Row],[Faturamento Estimado]]*2%</f>
        <v>7269.2297260298019</v>
      </c>
      <c r="X28" s="72">
        <f>Table153714[[#This Row],[Média Alunos Estimada 
Total Personal]]-(Table153714[[#This Row],[Tx. % Real Alunos 
não ativados]]*Table153714[[#This Row],[Média Alunos Estimada 
Total Personal]])</f>
        <v>14.25</v>
      </c>
      <c r="Y28" s="66">
        <v>0.05</v>
      </c>
      <c r="Z28" s="14">
        <f>Table153714[[#This Row],[Ticket Médio Aluno Personal]]*Table153714[[#This Row],[Média Real Alunos 
Ativos Personal]]</f>
        <v>10482.79499957812</v>
      </c>
      <c r="AA28" s="62">
        <f>Table153714[[#This Row],[Média Real Alunos 
Ativos Personal]]*Table153714[[#This Row],[Personais 
Ativos Mês]]</f>
        <v>716.72605271259329</v>
      </c>
      <c r="AB28" s="14">
        <f>Table153714[[#This Row],[Média Real por Personal]]*Q27</f>
        <v>345288.41198641557</v>
      </c>
      <c r="AC28" s="14">
        <f>Table153714[[#This Row],[Faturamento 
Real Bruto]]*2%</f>
        <v>6905.7682397283115</v>
      </c>
      <c r="AD28" s="14">
        <f>AD27+Table153714[[#This Row],[Faturamento 
Real Bruto]]</f>
        <v>1283665.8859294825</v>
      </c>
      <c r="AE28" s="14">
        <f>AE27+Table153714[[#This Row],[Receita MUVX 
(2%)]]</f>
        <v>25673.317718589649</v>
      </c>
      <c r="AF28" s="14">
        <f>Table153714[[#This Row],[Investimento no Mês 
(Growth) // 15%]]+AF27</f>
        <v>11044.6245</v>
      </c>
      <c r="AG28" s="73">
        <f>Table153714[[#This Row],[Receita MUVX Acumulada]]/Table153714[[#This Row],[Investimento Acumulado]]</f>
        <v>2.3245079738645393</v>
      </c>
      <c r="AH28" s="73">
        <f>Table153714[[#This Row],[ROI]]+AH27</f>
        <v>8.4260333423774991</v>
      </c>
    </row>
    <row r="29" spans="1:34">
      <c r="A29" s="78">
        <v>46204</v>
      </c>
      <c r="B29" s="61">
        <f t="shared" si="13"/>
        <v>15000</v>
      </c>
      <c r="C29" s="61">
        <f t="shared" si="14"/>
        <v>13.313860698599999</v>
      </c>
      <c r="D29" s="62">
        <f>Table153714[[#This Row],[Investimento no Mês 
(Growth) // 15%]]/Table153714[[#This Row],[CPL 
(cadastro)]]</f>
        <v>1126.6454065857324</v>
      </c>
      <c r="E29" s="63">
        <f t="shared" si="8"/>
        <v>0.3</v>
      </c>
      <c r="F29" s="64">
        <f>Table153714[[#This Row],[Novos Cadastros 
LP]]*Table153714[[#This Row],[Tx. % Install]]</f>
        <v>337.99362197571969</v>
      </c>
      <c r="G29" s="63">
        <f t="shared" si="9"/>
        <v>0.6</v>
      </c>
      <c r="H29" s="64">
        <f>Table153714[[#This Row],[Novos Installs no App]]*Table153714[[#This Row],[Tx % Ativações]]</f>
        <v>202.7961731854318</v>
      </c>
      <c r="I29" s="63">
        <f t="shared" si="10"/>
        <v>0.3</v>
      </c>
      <c r="J29" s="64">
        <f t="shared" si="11"/>
        <v>0</v>
      </c>
      <c r="K29" s="63">
        <f t="shared" si="12"/>
        <v>0.2</v>
      </c>
      <c r="L29" s="62">
        <f>(Table153714[[#This Row],[Novos Personais Habilitados]]*Table153714[[#This Row],[Tx % de Conversão]])+(Table153714[[#This Row],[Cadastros Evento Presencial]]*Table153714[[#This Row],[Tx % Ativação Presencial]])</f>
        <v>60.838851955629536</v>
      </c>
      <c r="M29" s="62">
        <f>Table153714[[#This Row],[Novos Personais Ativados]]+M28</f>
        <v>112.47822647792667</v>
      </c>
      <c r="N29" s="65">
        <f>Table153714[[#This Row],[Investimento no Mês 
(Growth) // 15%]]/Table153714[[#This Row],[Novos Personais Ativados]]</f>
        <v>246.55297590000006</v>
      </c>
      <c r="O29" s="66">
        <v>0.02</v>
      </c>
      <c r="P29" s="67">
        <f>M28*Table153714[[#This Row],[Tx. % Churn]]</f>
        <v>1.0327874904459426</v>
      </c>
      <c r="Q29" s="62">
        <f>Table153714[[#This Row],[Personais 
Totais]]-Table153714[[#This Row],[Qtde. Churn 
no Mês]]</f>
        <v>111.44543898748073</v>
      </c>
      <c r="R29" s="68">
        <v>15</v>
      </c>
      <c r="S29" s="61">
        <f t="shared" si="15"/>
        <v>746.6692578646871</v>
      </c>
      <c r="T29" s="76">
        <f>Table153714[[#This Row],[Média Alunos Estimada 
Total Personal]]*Table153714[[#This Row],[Ticket Médio Aluno Personal]]</f>
        <v>11200.038867970306</v>
      </c>
      <c r="U29" s="62">
        <f>Table153714[[#This Row],[Personais 
Ativos Mês]]+(Table153714[[#This Row],[Personais 
Ativos Mês]]*Table153714[[#This Row],[Média Alunos Estimada 
Total Personal]])</f>
        <v>1783.1270237996916</v>
      </c>
      <c r="V29" s="77">
        <f>Table153714[[#This Row],[Média Faturamento
Estimada Personal]]*Q28</f>
        <v>563323.48407494591</v>
      </c>
      <c r="W29" s="77">
        <f>Table153714[[#This Row],[Faturamento Estimado]]*2%</f>
        <v>11266.469681498918</v>
      </c>
      <c r="X29" s="72">
        <f>Table153714[[#This Row],[Média Alunos Estimada 
Total Personal]]-(Table153714[[#This Row],[Tx. % Real Alunos 
não ativados]]*Table153714[[#This Row],[Média Alunos Estimada 
Total Personal]])</f>
        <v>14.25</v>
      </c>
      <c r="Y29" s="66">
        <v>0.05</v>
      </c>
      <c r="Z29" s="14">
        <f>Table153714[[#This Row],[Ticket Médio Aluno Personal]]*Table153714[[#This Row],[Média Real Alunos 
Ativos Personal]]</f>
        <v>10640.036924571792</v>
      </c>
      <c r="AA29" s="62">
        <f>Table153714[[#This Row],[Média Real Alunos 
Ativos Personal]]*Table153714[[#This Row],[Personais 
Ativos Mês]]</f>
        <v>1588.0975055716003</v>
      </c>
      <c r="AB29" s="14">
        <f>Table153714[[#This Row],[Média Real por Personal]]*Q28</f>
        <v>535157.30987119873</v>
      </c>
      <c r="AC29" s="14">
        <f>Table153714[[#This Row],[Faturamento 
Real Bruto]]*2%</f>
        <v>10703.146197423976</v>
      </c>
      <c r="AD29" s="14">
        <f>AD28+Table153714[[#This Row],[Faturamento 
Real Bruto]]</f>
        <v>1818823.1958006811</v>
      </c>
      <c r="AE29" s="14">
        <f>AE28+Table153714[[#This Row],[Receita MUVX 
(2%)]]</f>
        <v>36376.463916013628</v>
      </c>
      <c r="AF29" s="14">
        <f>Table153714[[#This Row],[Investimento no Mês 
(Growth) // 15%]]+AF28</f>
        <v>26044.624499999998</v>
      </c>
      <c r="AG29" s="73">
        <f>Table153714[[#This Row],[Receita MUVX Acumulada]]/Table153714[[#This Row],[Investimento Acumulado]]</f>
        <v>1.3966975763468439</v>
      </c>
      <c r="AH29" s="73">
        <f>Table153714[[#This Row],[ROI]]+AH28</f>
        <v>9.8227309187243428</v>
      </c>
    </row>
    <row r="30" spans="1:34">
      <c r="A30" s="60">
        <v>46235</v>
      </c>
      <c r="B30" s="61">
        <f t="shared" si="13"/>
        <v>15000</v>
      </c>
      <c r="C30" s="61">
        <f t="shared" si="14"/>
        <v>13.180722091613999</v>
      </c>
      <c r="D30" s="62">
        <f>Table153714[[#This Row],[Investimento no Mês 
(Growth) // 15%]]/Table153714[[#This Row],[CPL 
(cadastro)]]</f>
        <v>1138.0256632179116</v>
      </c>
      <c r="E30" s="63">
        <f t="shared" si="8"/>
        <v>0.3</v>
      </c>
      <c r="F30" s="64">
        <f>Table153714[[#This Row],[Novos Cadastros 
LP]]*Table153714[[#This Row],[Tx. % Install]]</f>
        <v>341.40769896537347</v>
      </c>
      <c r="G30" s="63">
        <f t="shared" si="9"/>
        <v>0.6</v>
      </c>
      <c r="H30" s="64">
        <f>Table153714[[#This Row],[Novos Installs no App]]*Table153714[[#This Row],[Tx % Ativações]]</f>
        <v>204.84461937922407</v>
      </c>
      <c r="I30" s="63">
        <f t="shared" si="10"/>
        <v>0.3</v>
      </c>
      <c r="J30" s="64">
        <f t="shared" si="11"/>
        <v>0</v>
      </c>
      <c r="K30" s="63">
        <f t="shared" si="12"/>
        <v>0</v>
      </c>
      <c r="L30" s="62">
        <f>(Table153714[[#This Row],[Novos Personais Habilitados]]*Table153714[[#This Row],[Tx % de Conversão]])+(Table153714[[#This Row],[Cadastros Evento Presencial]]*Table153714[[#This Row],[Tx % Ativação Presencial]])</f>
        <v>61.45338581376722</v>
      </c>
      <c r="M30" s="62">
        <f>Table153714[[#This Row],[Novos Personais Ativados]]+M29</f>
        <v>173.93161229169388</v>
      </c>
      <c r="N30" s="65">
        <f>Table153714[[#This Row],[Investimento no Mês 
(Growth) // 15%]]/Table153714[[#This Row],[Novos Personais Ativados]]</f>
        <v>244.08744614100002</v>
      </c>
      <c r="O30" s="66">
        <v>0.02</v>
      </c>
      <c r="P30" s="67">
        <f>M29*Table153714[[#This Row],[Tx. % Churn]]</f>
        <v>2.2495645295585334</v>
      </c>
      <c r="Q30" s="62">
        <f>Table153714[[#This Row],[Personais 
Totais]]-Table153714[[#This Row],[Qtde. Churn 
no Mês]]</f>
        <v>171.68204776213534</v>
      </c>
      <c r="R30" s="68">
        <v>15</v>
      </c>
      <c r="S30" s="61">
        <f t="shared" si="15"/>
        <v>757.86929673265729</v>
      </c>
      <c r="T30" s="76">
        <f>Table153714[[#This Row],[Média Alunos Estimada 
Total Personal]]*Table153714[[#This Row],[Ticket Médio Aluno Personal]]</f>
        <v>11368.03945098986</v>
      </c>
      <c r="U30" s="62">
        <f>Table153714[[#This Row],[Personais 
Ativos Mês]]+(Table153714[[#This Row],[Personais 
Ativos Mês]]*Table153714[[#This Row],[Média Alunos Estimada 
Total Personal]])</f>
        <v>2746.9127641941654</v>
      </c>
      <c r="V30" s="77">
        <f>Table153714[[#This Row],[Média Faturamento
Estimada Personal]]*Q29</f>
        <v>1266916.1470425643</v>
      </c>
      <c r="W30" s="77">
        <f>Table153714[[#This Row],[Faturamento Estimado]]*2%</f>
        <v>25338.322940851289</v>
      </c>
      <c r="X30" s="72">
        <f>Table153714[[#This Row],[Média Alunos Estimada 
Total Personal]]-(Table153714[[#This Row],[Tx. % Real Alunos 
não ativados]]*Table153714[[#This Row],[Média Alunos Estimada 
Total Personal]])</f>
        <v>14.25</v>
      </c>
      <c r="Y30" s="66">
        <v>0.05</v>
      </c>
      <c r="Z30" s="14">
        <f>Table153714[[#This Row],[Ticket Médio Aluno Personal]]*Table153714[[#This Row],[Média Real Alunos 
Ativos Personal]]</f>
        <v>10799.637478440367</v>
      </c>
      <c r="AA30" s="62">
        <f>Table153714[[#This Row],[Média Real Alunos 
Ativos Personal]]*Table153714[[#This Row],[Personais 
Ativos Mês]]</f>
        <v>2446.4691806104288</v>
      </c>
      <c r="AB30" s="14">
        <f>Table153714[[#This Row],[Média Real por Personal]]*Q29</f>
        <v>1203570.3396904361</v>
      </c>
      <c r="AC30" s="14">
        <f>Table153714[[#This Row],[Faturamento 
Real Bruto]]*2%</f>
        <v>24071.406793808725</v>
      </c>
      <c r="AD30" s="14">
        <f>AD29+Table153714[[#This Row],[Faturamento 
Real Bruto]]</f>
        <v>3022393.5354911173</v>
      </c>
      <c r="AE30" s="14">
        <f>AE29+Table153714[[#This Row],[Receita MUVX 
(2%)]]</f>
        <v>60447.870709822353</v>
      </c>
      <c r="AF30" s="14">
        <f>Table153714[[#This Row],[Investimento no Mês 
(Growth) // 15%]]+AF29</f>
        <v>41044.624499999998</v>
      </c>
      <c r="AG30" s="73">
        <f>Table153714[[#This Row],[Receita MUVX Acumulada]]/Table153714[[#This Row],[Investimento Acumulado]]</f>
        <v>1.4727353812147157</v>
      </c>
      <c r="AH30" s="73">
        <f>Table153714[[#This Row],[ROI]]+AH29</f>
        <v>11.295466299939058</v>
      </c>
    </row>
    <row r="31" spans="1:34">
      <c r="A31" s="78">
        <v>46266</v>
      </c>
      <c r="B31" s="61">
        <f t="shared" si="13"/>
        <v>15000</v>
      </c>
      <c r="C31" s="61">
        <f t="shared" si="14"/>
        <v>13.048914870697859</v>
      </c>
      <c r="D31" s="62">
        <f>Table153714[[#This Row],[Investimento no Mês 
(Growth) // 15%]]/Table153714[[#This Row],[CPL 
(cadastro)]]</f>
        <v>1149.5208719372845</v>
      </c>
      <c r="E31" s="63">
        <f t="shared" si="8"/>
        <v>0.3</v>
      </c>
      <c r="F31" s="64">
        <f>Table153714[[#This Row],[Novos Cadastros 
LP]]*Table153714[[#This Row],[Tx. % Install]]</f>
        <v>344.85626158118532</v>
      </c>
      <c r="G31" s="63">
        <f t="shared" si="9"/>
        <v>0.6</v>
      </c>
      <c r="H31" s="64">
        <f>Table153714[[#This Row],[Novos Installs no App]]*Table153714[[#This Row],[Tx % Ativações]]</f>
        <v>206.91375694871118</v>
      </c>
      <c r="I31" s="63">
        <f t="shared" si="10"/>
        <v>0.3</v>
      </c>
      <c r="J31" s="64">
        <f t="shared" si="11"/>
        <v>0</v>
      </c>
      <c r="K31" s="63">
        <f t="shared" si="12"/>
        <v>0</v>
      </c>
      <c r="L31" s="62">
        <f>(Table153714[[#This Row],[Novos Personais Habilitados]]*Table153714[[#This Row],[Tx % de Conversão]])+(Table153714[[#This Row],[Cadastros Evento Presencial]]*Table153714[[#This Row],[Tx % Ativação Presencial]])</f>
        <v>62.074127084613352</v>
      </c>
      <c r="M31" s="62">
        <f>Table153714[[#This Row],[Novos Personais Ativados]]+M30</f>
        <v>236.00573937630725</v>
      </c>
      <c r="N31" s="65">
        <f>Table153714[[#This Row],[Investimento no Mês 
(Growth) // 15%]]/Table153714[[#This Row],[Novos Personais Ativados]]</f>
        <v>241.64657167959001</v>
      </c>
      <c r="O31" s="66">
        <v>0.02</v>
      </c>
      <c r="P31" s="67">
        <f>M30*Table153714[[#This Row],[Tx. % Churn]]</f>
        <v>3.4786322458338779</v>
      </c>
      <c r="Q31" s="62">
        <f>Table153714[[#This Row],[Personais 
Totais]]-Table153714[[#This Row],[Qtde. Churn 
no Mês]]</f>
        <v>232.52710713047338</v>
      </c>
      <c r="R31" s="68">
        <v>15</v>
      </c>
      <c r="S31" s="61">
        <f t="shared" si="15"/>
        <v>769.23733618364713</v>
      </c>
      <c r="T31" s="76">
        <f>Table153714[[#This Row],[Média Alunos Estimada 
Total Personal]]*Table153714[[#This Row],[Ticket Médio Aluno Personal]]</f>
        <v>11538.560042754707</v>
      </c>
      <c r="U31" s="62">
        <f>Table153714[[#This Row],[Personais 
Ativos Mês]]+(Table153714[[#This Row],[Personais 
Ativos Mês]]*Table153714[[#This Row],[Média Alunos Estimada 
Total Personal]])</f>
        <v>3720.4337140875741</v>
      </c>
      <c r="V31" s="77">
        <f>Table153714[[#This Row],[Média Faturamento
Estimada Personal]]*Q30</f>
        <v>1980963.61636648</v>
      </c>
      <c r="W31" s="77">
        <f>Table153714[[#This Row],[Faturamento Estimado]]*2%</f>
        <v>39619.2723273296</v>
      </c>
      <c r="X31" s="72">
        <f>Table153714[[#This Row],[Média Alunos Estimada 
Total Personal]]-(Table153714[[#This Row],[Tx. % Real Alunos 
não ativados]]*Table153714[[#This Row],[Média Alunos Estimada 
Total Personal]])</f>
        <v>14.25</v>
      </c>
      <c r="Y31" s="66">
        <v>0.05</v>
      </c>
      <c r="Z31" s="14">
        <f>Table153714[[#This Row],[Ticket Médio Aluno Personal]]*Table153714[[#This Row],[Média Real Alunos 
Ativos Personal]]</f>
        <v>10961.632040616973</v>
      </c>
      <c r="AA31" s="62">
        <f>Table153714[[#This Row],[Média Real Alunos 
Ativos Personal]]*Table153714[[#This Row],[Personais 
Ativos Mês]]</f>
        <v>3313.5112766092457</v>
      </c>
      <c r="AB31" s="14">
        <f>Table153714[[#This Row],[Média Real por Personal]]*Q30</f>
        <v>1881915.4355481563</v>
      </c>
      <c r="AC31" s="14">
        <f>Table153714[[#This Row],[Faturamento 
Real Bruto]]*2%</f>
        <v>37638.308710963123</v>
      </c>
      <c r="AD31" s="14">
        <f>AD30+Table153714[[#This Row],[Faturamento 
Real Bruto]]</f>
        <v>4904308.9710392738</v>
      </c>
      <c r="AE31" s="14">
        <f>AE30+Table153714[[#This Row],[Receita MUVX 
(2%)]]</f>
        <v>98086.179420785484</v>
      </c>
      <c r="AF31" s="14">
        <f>Table153714[[#This Row],[Investimento no Mês 
(Growth) // 15%]]+AF30</f>
        <v>56044.624499999998</v>
      </c>
      <c r="AG31" s="73">
        <f>Table153714[[#This Row],[Receita MUVX Acumulada]]/Table153714[[#This Row],[Investimento Acumulado]]</f>
        <v>1.750144287625399</v>
      </c>
      <c r="AH31" s="73">
        <f>Table153714[[#This Row],[ROI]]+AH30</f>
        <v>13.045610587564457</v>
      </c>
    </row>
    <row r="32" spans="1:34">
      <c r="A32" s="60">
        <v>46296</v>
      </c>
      <c r="B32" s="61">
        <f t="shared" si="13"/>
        <v>15000</v>
      </c>
      <c r="C32" s="61">
        <f t="shared" si="14"/>
        <v>12.91842572199088</v>
      </c>
      <c r="D32" s="62">
        <f>Table153714[[#This Row],[Investimento no Mês 
(Growth) // 15%]]/Table153714[[#This Row],[CPL 
(cadastro)]]</f>
        <v>1161.1321938760448</v>
      </c>
      <c r="E32" s="63">
        <f t="shared" si="8"/>
        <v>0.3</v>
      </c>
      <c r="F32" s="64">
        <f>Table153714[[#This Row],[Novos Cadastros 
LP]]*Table153714[[#This Row],[Tx. % Install]]</f>
        <v>348.33965816281341</v>
      </c>
      <c r="G32" s="63">
        <f t="shared" si="9"/>
        <v>0.6</v>
      </c>
      <c r="H32" s="64">
        <f>Table153714[[#This Row],[Novos Installs no App]]*Table153714[[#This Row],[Tx % Ativações]]</f>
        <v>209.00379489768804</v>
      </c>
      <c r="I32" s="63">
        <f t="shared" si="10"/>
        <v>0.3</v>
      </c>
      <c r="J32" s="64">
        <f t="shared" si="11"/>
        <v>0</v>
      </c>
      <c r="K32" s="63">
        <f t="shared" si="12"/>
        <v>0</v>
      </c>
      <c r="L32" s="62">
        <f>(Table153714[[#This Row],[Novos Personais Habilitados]]*Table153714[[#This Row],[Tx % de Conversão]])+(Table153714[[#This Row],[Cadastros Evento Presencial]]*Table153714[[#This Row],[Tx % Ativação Presencial]])</f>
        <v>62.701138469306407</v>
      </c>
      <c r="M32" s="62">
        <f>Table153714[[#This Row],[Novos Personais Ativados]]+M31</f>
        <v>298.70687784561363</v>
      </c>
      <c r="N32" s="65">
        <f>Table153714[[#This Row],[Investimento no Mês 
(Growth) // 15%]]/Table153714[[#This Row],[Novos Personais Ativados]]</f>
        <v>239.23010596279414</v>
      </c>
      <c r="O32" s="66">
        <v>0.03</v>
      </c>
      <c r="P32" s="67">
        <f>M31*Table153714[[#This Row],[Tx. % Churn]]</f>
        <v>7.0801721812892175</v>
      </c>
      <c r="Q32" s="62">
        <f>Table153714[[#This Row],[Personais 
Totais]]-Table153714[[#This Row],[Qtde. Churn 
no Mês]]</f>
        <v>291.62670566432439</v>
      </c>
      <c r="R32" s="68">
        <v>15</v>
      </c>
      <c r="S32" s="61">
        <f t="shared" si="15"/>
        <v>780.77589622640176</v>
      </c>
      <c r="T32" s="76">
        <f>Table153714[[#This Row],[Média Alunos Estimada 
Total Personal]]*Table153714[[#This Row],[Ticket Médio Aluno Personal]]</f>
        <v>11711.638443396027</v>
      </c>
      <c r="U32" s="62">
        <f>Table153714[[#This Row],[Personais 
Ativos Mês]]+(Table153714[[#This Row],[Personais 
Ativos Mês]]*Table153714[[#This Row],[Média Alunos Estimada 
Total Personal]])</f>
        <v>4666.0272906291902</v>
      </c>
      <c r="V32" s="77">
        <f>Table153714[[#This Row],[Média Faturamento
Estimada Personal]]*Q31</f>
        <v>2723273.4070009184</v>
      </c>
      <c r="W32" s="77">
        <f>Table153714[[#This Row],[Faturamento Estimado]]*2%</f>
        <v>54465.468140018369</v>
      </c>
      <c r="X32" s="72">
        <f>Table153714[[#This Row],[Média Alunos Estimada 
Total Personal]]-(Table153714[[#This Row],[Tx. % Real Alunos 
não ativados]]*Table153714[[#This Row],[Média Alunos Estimada 
Total Personal]])</f>
        <v>14.25</v>
      </c>
      <c r="Y32" s="66">
        <v>0.05</v>
      </c>
      <c r="Z32" s="14">
        <f>Table153714[[#This Row],[Ticket Médio Aluno Personal]]*Table153714[[#This Row],[Média Real Alunos 
Ativos Personal]]</f>
        <v>11126.056521226225</v>
      </c>
      <c r="AA32" s="62">
        <f>Table153714[[#This Row],[Média Real Alunos 
Ativos Personal]]*Table153714[[#This Row],[Personais 
Ativos Mês]]</f>
        <v>4155.6805557166226</v>
      </c>
      <c r="AB32" s="14">
        <f>Table153714[[#This Row],[Média Real por Personal]]*Q31</f>
        <v>2587109.7366508725</v>
      </c>
      <c r="AC32" s="14">
        <f>Table153714[[#This Row],[Faturamento 
Real Bruto]]*2%</f>
        <v>51742.194733017452</v>
      </c>
      <c r="AD32" s="14">
        <f>AD31+Table153714[[#This Row],[Faturamento 
Real Bruto]]</f>
        <v>7491418.7076901458</v>
      </c>
      <c r="AE32" s="14">
        <f>AE31+Table153714[[#This Row],[Receita MUVX 
(2%)]]</f>
        <v>149828.37415380293</v>
      </c>
      <c r="AF32" s="14">
        <f>Table153714[[#This Row],[Investimento no Mês 
(Growth) // 15%]]+AF31</f>
        <v>71044.624500000005</v>
      </c>
      <c r="AG32" s="73">
        <f>Table153714[[#This Row],[Receita MUVX Acumulada]]/Table153714[[#This Row],[Investimento Acumulado]]</f>
        <v>2.1089332966184222</v>
      </c>
      <c r="AH32" s="73">
        <f>Table153714[[#This Row],[ROI]]+AH31</f>
        <v>15.15454388418288</v>
      </c>
    </row>
    <row r="33" spans="1:34">
      <c r="A33" s="78">
        <v>46327</v>
      </c>
      <c r="B33" s="61">
        <f t="shared" si="13"/>
        <v>15000</v>
      </c>
      <c r="C33" s="61">
        <f t="shared" si="14"/>
        <v>12.789241464770971</v>
      </c>
      <c r="D33" s="62">
        <f>Table153714[[#This Row],[Investimento no Mês 
(Growth) // 15%]]/Table153714[[#This Row],[CPL 
(cadastro)]]</f>
        <v>1172.8608018949949</v>
      </c>
      <c r="E33" s="63">
        <f t="shared" si="8"/>
        <v>0.3</v>
      </c>
      <c r="F33" s="64">
        <f>Table153714[[#This Row],[Novos Cadastros 
LP]]*Table153714[[#This Row],[Tx. % Install]]</f>
        <v>351.85824056849845</v>
      </c>
      <c r="G33" s="63">
        <f t="shared" si="9"/>
        <v>0.6</v>
      </c>
      <c r="H33" s="64">
        <f>Table153714[[#This Row],[Novos Installs no App]]*Table153714[[#This Row],[Tx % Ativações]]</f>
        <v>211.11494434109906</v>
      </c>
      <c r="I33" s="63">
        <f t="shared" si="10"/>
        <v>0.3</v>
      </c>
      <c r="J33" s="64">
        <f t="shared" si="11"/>
        <v>0</v>
      </c>
      <c r="K33" s="63">
        <f t="shared" si="12"/>
        <v>0</v>
      </c>
      <c r="L33" s="62">
        <f>(Table153714[[#This Row],[Novos Personais Habilitados]]*Table153714[[#This Row],[Tx % de Conversão]])+(Table153714[[#This Row],[Cadastros Evento Presencial]]*Table153714[[#This Row],[Tx % Ativação Presencial]])</f>
        <v>63.334483302329716</v>
      </c>
      <c r="M33" s="62">
        <f>Table153714[[#This Row],[Novos Personais Ativados]]+M32</f>
        <v>362.04136114794335</v>
      </c>
      <c r="N33" s="65">
        <f>Table153714[[#This Row],[Investimento no Mês 
(Growth) // 15%]]/Table153714[[#This Row],[Novos Personais Ativados]]</f>
        <v>236.83780490316616</v>
      </c>
      <c r="O33" s="66">
        <v>0.02</v>
      </c>
      <c r="P33" s="67">
        <f>M32*Table153714[[#This Row],[Tx. % Churn]]</f>
        <v>5.9741375569122726</v>
      </c>
      <c r="Q33" s="62">
        <f>Table153714[[#This Row],[Personais 
Totais]]-Table153714[[#This Row],[Qtde. Churn 
no Mês]]</f>
        <v>356.06722359103105</v>
      </c>
      <c r="R33" s="68">
        <v>15</v>
      </c>
      <c r="S33" s="61">
        <f t="shared" si="15"/>
        <v>792.4875346697977</v>
      </c>
      <c r="T33" s="76">
        <f>Table153714[[#This Row],[Média Alunos Estimada 
Total Personal]]*Table153714[[#This Row],[Ticket Médio Aluno Personal]]</f>
        <v>11887.313020046966</v>
      </c>
      <c r="U33" s="62">
        <f>Table153714[[#This Row],[Personais 
Ativos Mês]]+(Table153714[[#This Row],[Personais 
Ativos Mês]]*Table153714[[#This Row],[Média Alunos Estimada 
Total Personal]])</f>
        <v>5697.0755774564968</v>
      </c>
      <c r="V33" s="77">
        <f>Table153714[[#This Row],[Média Faturamento
Estimada Personal]]*Q32</f>
        <v>3466657.9352369276</v>
      </c>
      <c r="W33" s="77">
        <f>Table153714[[#This Row],[Faturamento Estimado]]*2%</f>
        <v>69333.158704738555</v>
      </c>
      <c r="X33" s="72">
        <f>Table153714[[#This Row],[Média Alunos Estimada 
Total Personal]]-(Table153714[[#This Row],[Tx. % Real Alunos 
não ativados]]*Table153714[[#This Row],[Média Alunos Estimada 
Total Personal]])</f>
        <v>14.25</v>
      </c>
      <c r="Y33" s="66">
        <v>0.05</v>
      </c>
      <c r="Z33" s="14">
        <f>Table153714[[#This Row],[Ticket Médio Aluno Personal]]*Table153714[[#This Row],[Média Real Alunos 
Ativos Personal]]</f>
        <v>11292.947369044618</v>
      </c>
      <c r="AA33" s="62">
        <f>Table153714[[#This Row],[Média Real Alunos 
Ativos Personal]]*Table153714[[#This Row],[Personais 
Ativos Mês]]</f>
        <v>5073.9579361721926</v>
      </c>
      <c r="AB33" s="14">
        <f>Table153714[[#This Row],[Média Real por Personal]]*Q32</f>
        <v>3293325.0384750813</v>
      </c>
      <c r="AC33" s="14">
        <f>Table153714[[#This Row],[Faturamento 
Real Bruto]]*2%</f>
        <v>65866.500769501625</v>
      </c>
      <c r="AD33" s="14">
        <f>AD32+Table153714[[#This Row],[Faturamento 
Real Bruto]]</f>
        <v>10784743.746165227</v>
      </c>
      <c r="AE33" s="14">
        <f>AE32+Table153714[[#This Row],[Receita MUVX 
(2%)]]</f>
        <v>215694.87492330454</v>
      </c>
      <c r="AF33" s="14">
        <f>Table153714[[#This Row],[Investimento no Mês 
(Growth) // 15%]]+AF32</f>
        <v>86044.624500000005</v>
      </c>
      <c r="AG33" s="73">
        <f>Table153714[[#This Row],[Receita MUVX Acumulada]]/Table153714[[#This Row],[Investimento Acumulado]]</f>
        <v>2.5067791994757851</v>
      </c>
      <c r="AH33" s="73">
        <f>Table153714[[#This Row],[ROI]]+AH32</f>
        <v>17.661323083658665</v>
      </c>
    </row>
    <row r="34" spans="1:34">
      <c r="A34" s="60">
        <v>46357</v>
      </c>
      <c r="B34" s="61">
        <f t="shared" si="13"/>
        <v>15000</v>
      </c>
      <c r="C34" s="61">
        <f t="shared" si="14"/>
        <v>12.661349050123262</v>
      </c>
      <c r="D34" s="62">
        <f>Table153714[[#This Row],[Investimento no Mês 
(Growth) // 15%]]/Table153714[[#This Row],[CPL 
(cadastro)]]</f>
        <v>1184.707880702015</v>
      </c>
      <c r="E34" s="63">
        <f t="shared" si="8"/>
        <v>0.3</v>
      </c>
      <c r="F34" s="64">
        <f>Table153714[[#This Row],[Novos Cadastros 
LP]]*Table153714[[#This Row],[Tx. % Install]]</f>
        <v>355.41236421060449</v>
      </c>
      <c r="G34" s="63">
        <f t="shared" si="9"/>
        <v>0.6</v>
      </c>
      <c r="H34" s="64">
        <f>Table153714[[#This Row],[Novos Installs no App]]*Table153714[[#This Row],[Tx % Ativações]]</f>
        <v>213.24741852636268</v>
      </c>
      <c r="I34" s="63">
        <f t="shared" si="10"/>
        <v>0.3</v>
      </c>
      <c r="J34" s="64">
        <f t="shared" si="11"/>
        <v>0</v>
      </c>
      <c r="K34" s="63">
        <f t="shared" si="12"/>
        <v>0</v>
      </c>
      <c r="L34" s="62">
        <f>(Table153714[[#This Row],[Novos Personais Habilitados]]*Table153714[[#This Row],[Tx % de Conversão]])+(Table153714[[#This Row],[Cadastros Evento Presencial]]*Table153714[[#This Row],[Tx % Ativação Presencial]])</f>
        <v>63.974225557908802</v>
      </c>
      <c r="M34" s="62">
        <f>Table153714[[#This Row],[Novos Personais Ativados]]+M33</f>
        <v>426.01558670585217</v>
      </c>
      <c r="N34" s="65">
        <f>Table153714[[#This Row],[Investimento no Mês 
(Growth) // 15%]]/Table153714[[#This Row],[Novos Personais Ativados]]</f>
        <v>234.4694268541345</v>
      </c>
      <c r="O34" s="66">
        <v>0.03</v>
      </c>
      <c r="P34" s="67">
        <f>M33*Table153714[[#This Row],[Tx. % Churn]]</f>
        <v>10.8612408344383</v>
      </c>
      <c r="Q34" s="62">
        <f>Table153714[[#This Row],[Personais 
Totais]]-Table153714[[#This Row],[Qtde. Churn 
no Mês]]</f>
        <v>415.15434587141385</v>
      </c>
      <c r="R34" s="68">
        <v>15</v>
      </c>
      <c r="S34" s="61">
        <f t="shared" si="15"/>
        <v>804.37484768984461</v>
      </c>
      <c r="T34" s="76">
        <f>Table153714[[#This Row],[Média Alunos Estimada 
Total Personal]]*Table153714[[#This Row],[Ticket Médio Aluno Personal]]</f>
        <v>12065.622715347668</v>
      </c>
      <c r="U34" s="62">
        <f>Table153714[[#This Row],[Personais 
Ativos Mês]]+(Table153714[[#This Row],[Personais 
Ativos Mês]]*Table153714[[#This Row],[Média Alunos Estimada 
Total Personal]])</f>
        <v>6642.4695339426216</v>
      </c>
      <c r="V34" s="77">
        <f>Table153714[[#This Row],[Média Faturamento
Estimada Personal]]*Q33</f>
        <v>4296172.781150721</v>
      </c>
      <c r="W34" s="77">
        <f>Table153714[[#This Row],[Faturamento Estimado]]*2%</f>
        <v>85923.455623014423</v>
      </c>
      <c r="X34" s="72">
        <f>Table153714[[#This Row],[Média Alunos Estimada 
Total Personal]]-(Table153714[[#This Row],[Tx. % Real Alunos 
não ativados]]*Table153714[[#This Row],[Média Alunos Estimada 
Total Personal]])</f>
        <v>14.25</v>
      </c>
      <c r="Y34" s="66">
        <v>0.05</v>
      </c>
      <c r="Z34" s="14">
        <f>Table153714[[#This Row],[Ticket Médio Aluno Personal]]*Table153714[[#This Row],[Média Real Alunos 
Ativos Personal]]</f>
        <v>11462.341579580287</v>
      </c>
      <c r="AA34" s="62">
        <f>Table153714[[#This Row],[Média Real Alunos 
Ativos Personal]]*Table153714[[#This Row],[Personais 
Ativos Mês]]</f>
        <v>5915.9494286676472</v>
      </c>
      <c r="AB34" s="14">
        <f>Table153714[[#This Row],[Média Real por Personal]]*Q33</f>
        <v>4081364.1420931858</v>
      </c>
      <c r="AC34" s="14">
        <f>Table153714[[#This Row],[Faturamento 
Real Bruto]]*2%</f>
        <v>81627.282841863722</v>
      </c>
      <c r="AD34" s="14">
        <f>AD33+Table153714[[#This Row],[Faturamento 
Real Bruto]]</f>
        <v>14866107.888258412</v>
      </c>
      <c r="AE34" s="14">
        <f>AE33+Table153714[[#This Row],[Receita MUVX 
(2%)]]</f>
        <v>297322.15776516823</v>
      </c>
      <c r="AF34" s="14">
        <f>Table153714[[#This Row],[Investimento no Mês 
(Growth) // 15%]]+AF33</f>
        <v>101044.62450000001</v>
      </c>
      <c r="AG34" s="73">
        <f>Table153714[[#This Row],[Receita MUVX Acumulada]]/Table153714[[#This Row],[Investimento Acumulado]]</f>
        <v>2.9424836723023127</v>
      </c>
      <c r="AH34" s="73">
        <f>Table153714[[#This Row],[ROI]]+AH33</f>
        <v>20.603806755960978</v>
      </c>
    </row>
    <row r="35" spans="1:34">
      <c r="A35" s="78">
        <v>46388</v>
      </c>
      <c r="B35" s="61">
        <f t="shared" si="13"/>
        <v>15000</v>
      </c>
      <c r="C35" s="61">
        <f t="shared" si="14"/>
        <v>12.534735559622028</v>
      </c>
      <c r="D35" s="62">
        <f>Table153714[[#This Row],[Investimento no Mês 
(Growth) // 15%]]/Table153714[[#This Row],[CPL 
(cadastro)]]</f>
        <v>1196.6746269717323</v>
      </c>
      <c r="E35" s="63">
        <f t="shared" si="8"/>
        <v>0.3</v>
      </c>
      <c r="F35" s="64">
        <f>Table153714[[#This Row],[Novos Cadastros 
LP]]*Table153714[[#This Row],[Tx. % Install]]</f>
        <v>359.00238809151966</v>
      </c>
      <c r="G35" s="63">
        <f t="shared" si="9"/>
        <v>0.6</v>
      </c>
      <c r="H35" s="64">
        <f>Table153714[[#This Row],[Novos Installs no App]]*Table153714[[#This Row],[Tx % Ativações]]</f>
        <v>215.4014328549118</v>
      </c>
      <c r="I35" s="63">
        <f t="shared" si="10"/>
        <v>0.3</v>
      </c>
      <c r="J35" s="64">
        <f t="shared" si="11"/>
        <v>0</v>
      </c>
      <c r="K35" s="63">
        <f t="shared" si="12"/>
        <v>0</v>
      </c>
      <c r="L35" s="62">
        <f>(Table153714[[#This Row],[Novos Personais Habilitados]]*Table153714[[#This Row],[Tx % de Conversão]])+(Table153714[[#This Row],[Cadastros Evento Presencial]]*Table153714[[#This Row],[Tx % Ativação Presencial]])</f>
        <v>64.620429856473535</v>
      </c>
      <c r="M35" s="62">
        <f>Table153714[[#This Row],[Novos Personais Ativados]]+M34</f>
        <v>490.63601656232572</v>
      </c>
      <c r="N35" s="65">
        <f>Table153714[[#This Row],[Investimento no Mês 
(Growth) // 15%]]/Table153714[[#This Row],[Novos Personais Ativados]]</f>
        <v>232.12473258559316</v>
      </c>
      <c r="O35" s="66">
        <v>0.03</v>
      </c>
      <c r="P35" s="67">
        <f>M34*Table153714[[#This Row],[Tx. % Churn]]</f>
        <v>12.780467601175564</v>
      </c>
      <c r="Q35" s="62">
        <f>Table153714[[#This Row],[Personais 
Totais]]-Table153714[[#This Row],[Qtde. Churn 
no Mês]]</f>
        <v>477.85554896115013</v>
      </c>
      <c r="R35" s="68">
        <v>15</v>
      </c>
      <c r="S35" s="61">
        <f t="shared" si="15"/>
        <v>816.44047040519217</v>
      </c>
      <c r="T35" s="76">
        <f>Table153714[[#This Row],[Média Alunos Estimada 
Total Personal]]*Table153714[[#This Row],[Ticket Médio Aluno Personal]]</f>
        <v>12246.607056077883</v>
      </c>
      <c r="U35" s="62">
        <f>Table153714[[#This Row],[Personais 
Ativos Mês]]+(Table153714[[#This Row],[Personais 
Ativos Mês]]*Table153714[[#This Row],[Média Alunos Estimada 
Total Personal]])</f>
        <v>7645.6887833784021</v>
      </c>
      <c r="V35" s="77">
        <f>Table153714[[#This Row],[Média Faturamento
Estimada Personal]]*Q34</f>
        <v>5084232.1415102547</v>
      </c>
      <c r="W35" s="77">
        <f>Table153714[[#This Row],[Faturamento Estimado]]*2%</f>
        <v>101684.64283020509</v>
      </c>
      <c r="X35" s="72">
        <f>Table153714[[#This Row],[Média Alunos Estimada 
Total Personal]]-(Table153714[[#This Row],[Tx. % Real Alunos 
não ativados]]*Table153714[[#This Row],[Média Alunos Estimada 
Total Personal]])</f>
        <v>14.25</v>
      </c>
      <c r="Y35" s="66">
        <v>0.05</v>
      </c>
      <c r="Z35" s="14">
        <f>Table153714[[#This Row],[Ticket Médio Aluno Personal]]*Table153714[[#This Row],[Média Real Alunos 
Ativos Personal]]</f>
        <v>11634.276703273988</v>
      </c>
      <c r="AA35" s="62">
        <f>Table153714[[#This Row],[Média Real Alunos 
Ativos Personal]]*Table153714[[#This Row],[Personais 
Ativos Mês]]</f>
        <v>6809.4415726963898</v>
      </c>
      <c r="AB35" s="14">
        <f>Table153714[[#This Row],[Média Real por Personal]]*Q34</f>
        <v>4830020.5344347423</v>
      </c>
      <c r="AC35" s="14">
        <f>Table153714[[#This Row],[Faturamento 
Real Bruto]]*2%</f>
        <v>96600.410688694843</v>
      </c>
      <c r="AD35" s="14">
        <f>AD34+Table153714[[#This Row],[Faturamento 
Real Bruto]]</f>
        <v>19696128.422693156</v>
      </c>
      <c r="AE35" s="14">
        <f>AE34+Table153714[[#This Row],[Receita MUVX 
(2%)]]</f>
        <v>393922.56845386309</v>
      </c>
      <c r="AF35" s="14">
        <f>Table153714[[#This Row],[Investimento no Mês 
(Growth) // 15%]]+AF34</f>
        <v>116044.62450000001</v>
      </c>
      <c r="AG35" s="73">
        <f>Table153714[[#This Row],[Receita MUVX Acumulada]]/Table153714[[#This Row],[Investimento Acumulado]]</f>
        <v>3.394578337007442</v>
      </c>
      <c r="AH35" s="73">
        <f>Table153714[[#This Row],[ROI]]+AH34</f>
        <v>23.998385092968419</v>
      </c>
    </row>
    <row r="36" spans="1:34">
      <c r="A36" s="60">
        <v>46419</v>
      </c>
      <c r="B36" s="61">
        <f t="shared" si="13"/>
        <v>15000</v>
      </c>
      <c r="C36" s="61">
        <f t="shared" si="14"/>
        <v>12.409388204025808</v>
      </c>
      <c r="D36" s="62">
        <f>Table153714[[#This Row],[Investimento no Mês 
(Growth) // 15%]]/Table153714[[#This Row],[CPL 
(cadastro)]]</f>
        <v>1208.7622494663965</v>
      </c>
      <c r="E36" s="63">
        <f t="shared" si="8"/>
        <v>0.3</v>
      </c>
      <c r="F36" s="64">
        <f>Table153714[[#This Row],[Novos Cadastros 
LP]]*Table153714[[#This Row],[Tx. % Install]]</f>
        <v>362.62867483991892</v>
      </c>
      <c r="G36" s="63">
        <f t="shared" si="9"/>
        <v>0.6</v>
      </c>
      <c r="H36" s="64">
        <f>Table153714[[#This Row],[Novos Installs no App]]*Table153714[[#This Row],[Tx % Ativações]]</f>
        <v>217.57720490395135</v>
      </c>
      <c r="I36" s="63">
        <f t="shared" si="10"/>
        <v>0.3</v>
      </c>
      <c r="J36" s="64">
        <f t="shared" si="11"/>
        <v>0</v>
      </c>
      <c r="K36" s="63">
        <f t="shared" si="12"/>
        <v>0</v>
      </c>
      <c r="L36" s="62">
        <f>(Table153714[[#This Row],[Novos Personais Habilitados]]*Table153714[[#This Row],[Tx % de Conversão]])+(Table153714[[#This Row],[Cadastros Evento Presencial]]*Table153714[[#This Row],[Tx % Ativação Presencial]])</f>
        <v>65.273161471185404</v>
      </c>
      <c r="M36" s="62">
        <f>Table153714[[#This Row],[Novos Personais Ativados]]+M35</f>
        <v>555.90917803351113</v>
      </c>
      <c r="N36" s="65">
        <f>Table153714[[#This Row],[Investimento no Mês 
(Growth) // 15%]]/Table153714[[#This Row],[Novos Personais Ativados]]</f>
        <v>229.80348525973719</v>
      </c>
      <c r="O36" s="66">
        <v>0.06</v>
      </c>
      <c r="P36" s="67">
        <f>M35*Table153714[[#This Row],[Tx. % Churn]]</f>
        <v>29.438160993739544</v>
      </c>
      <c r="Q36" s="62">
        <f>Table153714[[#This Row],[Personais 
Totais]]-Table153714[[#This Row],[Qtde. Churn 
no Mês]]</f>
        <v>526.4710170397716</v>
      </c>
      <c r="R36" s="68">
        <v>15</v>
      </c>
      <c r="S36" s="61">
        <f t="shared" si="15"/>
        <v>828.68707746126995</v>
      </c>
      <c r="T36" s="76">
        <f>Table153714[[#This Row],[Média Alunos Estimada 
Total Personal]]*Table153714[[#This Row],[Ticket Médio Aluno Personal]]</f>
        <v>12430.306161919048</v>
      </c>
      <c r="U36" s="62">
        <f>Table153714[[#This Row],[Personais 
Ativos Mês]]+(Table153714[[#This Row],[Personais 
Ativos Mês]]*Table153714[[#This Row],[Média Alunos Estimada 
Total Personal]])</f>
        <v>8423.5362726363455</v>
      </c>
      <c r="V36" s="77">
        <f>Table153714[[#This Row],[Média Faturamento
Estimada Personal]]*Q35</f>
        <v>5939890.7747589936</v>
      </c>
      <c r="W36" s="77">
        <f>Table153714[[#This Row],[Faturamento Estimado]]*2%</f>
        <v>118797.81549517988</v>
      </c>
      <c r="X36" s="72">
        <f>Table153714[[#This Row],[Média Alunos Estimada 
Total Personal]]-(Table153714[[#This Row],[Tx. % Real Alunos 
não ativados]]*Table153714[[#This Row],[Média Alunos Estimada 
Total Personal]])</f>
        <v>14.25</v>
      </c>
      <c r="Y36" s="66">
        <v>0.05</v>
      </c>
      <c r="Z36" s="14">
        <f>Table153714[[#This Row],[Ticket Médio Aluno Personal]]*Table153714[[#This Row],[Média Real Alunos 
Ativos Personal]]</f>
        <v>11808.790853823097</v>
      </c>
      <c r="AA36" s="62">
        <f>Table153714[[#This Row],[Média Real Alunos 
Ativos Personal]]*Table153714[[#This Row],[Personais 
Ativos Mês]]</f>
        <v>7502.2119928167449</v>
      </c>
      <c r="AB36" s="14">
        <f>Table153714[[#This Row],[Média Real por Personal]]*Q35</f>
        <v>5642896.2360210447</v>
      </c>
      <c r="AC36" s="14">
        <f>Table153714[[#This Row],[Faturamento 
Real Bruto]]*2%</f>
        <v>112857.9247204209</v>
      </c>
      <c r="AD36" s="14">
        <f>AD35+Table153714[[#This Row],[Faturamento 
Real Bruto]]</f>
        <v>25339024.658714201</v>
      </c>
      <c r="AE36" s="14">
        <f>AE35+Table153714[[#This Row],[Receita MUVX 
(2%)]]</f>
        <v>506780.493174284</v>
      </c>
      <c r="AF36" s="14">
        <f>Table153714[[#This Row],[Investimento no Mês 
(Growth) // 15%]]+AF35</f>
        <v>131044.62450000001</v>
      </c>
      <c r="AG36" s="73">
        <f>Table153714[[#This Row],[Receita MUVX Acumulada]]/Table153714[[#This Row],[Investimento Acumulado]]</f>
        <v>3.8672360282453555</v>
      </c>
      <c r="AH36" s="73">
        <f>Table153714[[#This Row],[ROI]]+AH35</f>
        <v>27.865621121213774</v>
      </c>
    </row>
    <row r="37" spans="1:34" s="86" customFormat="1">
      <c r="A37" s="79"/>
      <c r="B37" s="80">
        <f>SUBTOTAL(109,B23:B36)</f>
        <v>131044.62450000001</v>
      </c>
      <c r="C37" s="80">
        <f>SUBTOTAL(101,C23:C36)</f>
        <v>13.105040557246058</v>
      </c>
      <c r="D37" s="81">
        <f>SUBTOTAL(109,D23:D36)</f>
        <v>11172.637228493964</v>
      </c>
      <c r="E37" s="82">
        <f>AVERAGE(E23:E36)</f>
        <v>0.25428571428571423</v>
      </c>
      <c r="F37" s="81">
        <f>Table153714[[#This Row],[Novos Cadastros 
LP]]*Table153714[[#This Row],[Tx. % Install]]</f>
        <v>2841.0420381027502</v>
      </c>
      <c r="G37" s="82">
        <f t="shared" si="9"/>
        <v>0.53571428571428559</v>
      </c>
      <c r="H37" s="82">
        <f>Table153714[[#This Row],[Novos Installs no App]]*Table153714[[#This Row],[Tx % Ativações]]</f>
        <v>1521.9868061264729</v>
      </c>
      <c r="I37" s="82">
        <f t="shared" si="10"/>
        <v>0.32857142857142846</v>
      </c>
      <c r="J37" s="81">
        <f t="shared" si="11"/>
        <v>0</v>
      </c>
      <c r="K37" s="82">
        <f t="shared" si="12"/>
        <v>0</v>
      </c>
      <c r="L37" s="83">
        <f>SUBTOTAL(109,L23:L36)</f>
        <v>555.90917803351113</v>
      </c>
      <c r="M37" s="83">
        <f>AVERAGE(M23:M36)</f>
        <v>202.47867956983617</v>
      </c>
      <c r="N37" s="80" t="e">
        <f>SUBTOTAL(101,N23:N36)</f>
        <v>#DIV/0!</v>
      </c>
      <c r="O37" s="84">
        <f>AVERAGE(O23:O36)</f>
        <v>2.571428571428571E-2</v>
      </c>
      <c r="P37" s="83">
        <f>SUBTOTAL(109,P23:P36)</f>
        <v>76.42261896350746</v>
      </c>
      <c r="Q37" s="83">
        <f>Q36</f>
        <v>526.4710170397716</v>
      </c>
      <c r="R37" s="83">
        <f>AVERAGE(R23:R36)</f>
        <v>15</v>
      </c>
      <c r="S37" s="85">
        <f>Table153714[[#This Row],[Média Faturamento
Estimada Personal]]/Table153714[[#This Row],[Média Alunos Estimada 
Total Personal]]</f>
        <v>705.3208743961427</v>
      </c>
      <c r="T37" s="80">
        <f>SUBTOTAL(101,T23:T36)</f>
        <v>10579.813115942141</v>
      </c>
      <c r="U37" s="83">
        <f>Table153714[[#This Row],[Personais 
Ativos Mês]]+(Table153714[[#This Row],[Personais 
Ativos Mês]]*Table153714[[#This Row],[Média Alunos Estimada 
Total Personal]])</f>
        <v>8423.5362726363455</v>
      </c>
      <c r="V37" s="85">
        <f>SUBTOTAL(109,V23:V36)</f>
        <v>26672657.535488628</v>
      </c>
      <c r="W37" s="85">
        <f>Table153714[[#This Row],[Faturamento Estimado]]*2%</f>
        <v>533453.1507097726</v>
      </c>
      <c r="X37" s="83"/>
      <c r="Y37" s="83"/>
      <c r="Z37" s="85">
        <f>AVERAGE(Z24:Z36)</f>
        <v>10298.962649386958</v>
      </c>
      <c r="AA37" s="62"/>
      <c r="AB37" s="80">
        <f>SUBTOTAL(109,AB23:AB36)</f>
        <v>25339024.658714201</v>
      </c>
      <c r="AC37" s="80">
        <f>SUBTOTAL(109,AC23:AC36)</f>
        <v>506780.493174284</v>
      </c>
      <c r="AD37" s="80"/>
    </row>
    <row r="38" spans="1:34">
      <c r="A38" s="87"/>
      <c r="D38" s="15"/>
      <c r="E38" s="88"/>
      <c r="F38" s="88">
        <f>Table153714[[#This Row],[Novos Cadastros 
LP]]*Table153714[[#This Row],[Tx. % Install]]</f>
        <v>0</v>
      </c>
      <c r="G38" s="88">
        <f t="shared" si="9"/>
        <v>0</v>
      </c>
      <c r="H38" s="88">
        <f>Table153714[[#This Row],[Novos Installs no App]]*Table153714[[#This Row],[Tx % Ativações]]</f>
        <v>0</v>
      </c>
      <c r="I38" s="88">
        <f t="shared" si="10"/>
        <v>0</v>
      </c>
      <c r="J38" s="88">
        <f t="shared" si="11"/>
        <v>0</v>
      </c>
      <c r="K38" s="88">
        <f t="shared" si="12"/>
        <v>0</v>
      </c>
      <c r="S38" s="15"/>
      <c r="U38" s="15"/>
      <c r="V38" s="15"/>
      <c r="W38" s="15"/>
      <c r="X38" s="62"/>
      <c r="AA38" s="83"/>
    </row>
    <row r="39" spans="1:34">
      <c r="A39" s="87"/>
      <c r="C39" s="89" t="s">
        <v>253</v>
      </c>
      <c r="D39" s="90">
        <f>D37/130000</f>
        <v>8.5943363296107411E-2</v>
      </c>
      <c r="E39" s="91"/>
      <c r="F39" s="91">
        <f>Table153714[[#This Row],[Novos Cadastros 
LP]]*Table153714[[#This Row],[Tx. % Install]]</f>
        <v>0</v>
      </c>
      <c r="G39" s="91">
        <f t="shared" si="9"/>
        <v>0</v>
      </c>
      <c r="H39" s="91">
        <f>Table153714[[#This Row],[Novos Installs no App]]*Table153714[[#This Row],[Tx % Ativações]]</f>
        <v>0</v>
      </c>
      <c r="I39" s="91">
        <f t="shared" si="10"/>
        <v>0</v>
      </c>
      <c r="J39" s="91">
        <f t="shared" si="11"/>
        <v>0</v>
      </c>
      <c r="K39" s="91">
        <f t="shared" si="12"/>
        <v>0</v>
      </c>
      <c r="L39" s="90"/>
      <c r="P39" s="89" t="s">
        <v>253</v>
      </c>
      <c r="Q39" s="90">
        <f>Q37/130000</f>
        <v>4.0497770541520891E-3</v>
      </c>
      <c r="S39" s="15"/>
      <c r="U39" s="15"/>
      <c r="V39" s="15"/>
      <c r="W39" s="15"/>
      <c r="X39" s="62"/>
      <c r="AA39" s="62"/>
      <c r="AB39" s="93"/>
      <c r="AC39" s="89"/>
    </row>
    <row r="41" spans="1:34">
      <c r="C41" s="185" t="s">
        <v>213</v>
      </c>
      <c r="D41" s="185"/>
      <c r="E41" s="186" t="s">
        <v>214</v>
      </c>
      <c r="F41" s="186"/>
      <c r="G41" s="187" t="s">
        <v>215</v>
      </c>
      <c r="H41" s="187"/>
      <c r="I41" s="186" t="s">
        <v>216</v>
      </c>
      <c r="J41" s="186"/>
      <c r="K41" s="186"/>
      <c r="L41" s="186"/>
      <c r="M41" s="186"/>
      <c r="N41" s="188" t="s">
        <v>217</v>
      </c>
      <c r="O41" s="188"/>
      <c r="P41" s="188"/>
      <c r="Q41" s="188"/>
      <c r="X41" s="184" t="s">
        <v>218</v>
      </c>
      <c r="Y41" s="184"/>
      <c r="Z41" s="184"/>
      <c r="AA41" s="184"/>
      <c r="AB41" s="184"/>
      <c r="AC41" s="184"/>
      <c r="AD41" s="184"/>
    </row>
    <row r="42" spans="1:34" s="59" customFormat="1" ht="54" customHeight="1">
      <c r="A42" s="54" t="s">
        <v>219</v>
      </c>
      <c r="B42" s="54" t="s">
        <v>256</v>
      </c>
      <c r="C42" s="55" t="s">
        <v>255</v>
      </c>
      <c r="D42" s="55" t="s">
        <v>222</v>
      </c>
      <c r="E42" s="56" t="s">
        <v>223</v>
      </c>
      <c r="F42" s="56" t="s">
        <v>224</v>
      </c>
      <c r="G42" s="57" t="s">
        <v>225</v>
      </c>
      <c r="H42" s="57" t="s">
        <v>226</v>
      </c>
      <c r="I42" s="56" t="s">
        <v>227</v>
      </c>
      <c r="J42" s="56" t="s">
        <v>228</v>
      </c>
      <c r="K42" s="56" t="s">
        <v>229</v>
      </c>
      <c r="L42" s="94" t="s">
        <v>230</v>
      </c>
      <c r="M42" s="94" t="s">
        <v>231</v>
      </c>
      <c r="N42" s="54" t="s">
        <v>232</v>
      </c>
      <c r="O42" s="54" t="s">
        <v>233</v>
      </c>
      <c r="P42" s="54" t="s">
        <v>234</v>
      </c>
      <c r="Q42" s="54" t="s">
        <v>235</v>
      </c>
      <c r="R42" s="54" t="s">
        <v>236</v>
      </c>
      <c r="S42" s="54" t="s">
        <v>237</v>
      </c>
      <c r="T42" s="54" t="s">
        <v>238</v>
      </c>
      <c r="U42" s="54" t="s">
        <v>239</v>
      </c>
      <c r="V42" s="54" t="s">
        <v>240</v>
      </c>
      <c r="W42" s="54" t="s">
        <v>241</v>
      </c>
      <c r="X42" s="55" t="s">
        <v>242</v>
      </c>
      <c r="Y42" s="55" t="s">
        <v>243</v>
      </c>
      <c r="Z42" s="55" t="s">
        <v>244</v>
      </c>
      <c r="AA42" s="55" t="s">
        <v>245</v>
      </c>
      <c r="AB42" s="55" t="s">
        <v>246</v>
      </c>
      <c r="AC42" s="55" t="s">
        <v>247</v>
      </c>
      <c r="AD42" s="55" t="s">
        <v>248</v>
      </c>
      <c r="AE42" s="58" t="s">
        <v>249</v>
      </c>
      <c r="AF42" s="58" t="s">
        <v>250</v>
      </c>
      <c r="AG42" s="54" t="s">
        <v>251</v>
      </c>
      <c r="AH42" s="54" t="s">
        <v>252</v>
      </c>
    </row>
    <row r="43" spans="1:34">
      <c r="A43" s="78">
        <v>46023</v>
      </c>
      <c r="B43" s="61">
        <f>B64*0.8</f>
        <v>25070.608</v>
      </c>
      <c r="C43" s="61">
        <f>C64</f>
        <v>12</v>
      </c>
      <c r="D43" s="62">
        <f>Table153815[[#This Row],[Investimento no Mês
 (Growth) // 80%]]/Table153815[[#This Row],[CPL 
(cadastro)]]</f>
        <v>2089.2173333333335</v>
      </c>
      <c r="E43" s="63">
        <f t="shared" ref="E43:E56" si="16">E64</f>
        <v>0.06</v>
      </c>
      <c r="F43" s="64">
        <f>Table153815[[#This Row],[Novos Cadastros 
LP]]*Table153815[[#This Row],[Tx. % Install]]</f>
        <v>125.35304000000001</v>
      </c>
      <c r="G43" s="63">
        <f t="shared" ref="G43:G59" si="17">G64</f>
        <v>0</v>
      </c>
      <c r="H43" s="64">
        <f>Table153815[[#This Row],[Novos Installs no App]]*Table153815[[#This Row],[Tx % Ativações]]</f>
        <v>0</v>
      </c>
      <c r="I43" s="63">
        <f t="shared" ref="I43:I59" si="18">I64</f>
        <v>0.7</v>
      </c>
      <c r="J43" s="64">
        <f t="shared" ref="J43:J59" si="19">J64*30%</f>
        <v>0</v>
      </c>
      <c r="K43" s="63">
        <f t="shared" ref="K43:K59" si="20">K64</f>
        <v>0</v>
      </c>
      <c r="L43" s="62">
        <f>(Table153815[[#This Row],[Novos Personais Habilitados]]*(Table153815[[#This Row],[Tx % de Conversão]])+Table153815[[#This Row],[Cadastros Evento Presencial]]*Table153815[[#This Row],[Tx % Ativação Presencial]])</f>
        <v>0</v>
      </c>
      <c r="M43" s="62">
        <f>Table153815[[#This Row],[Novos Personais Ativados]]</f>
        <v>0</v>
      </c>
      <c r="N43" s="65" t="e">
        <f>Table153815[[#This Row],[Investimento no Mês
 (Growth) // 80%]]/Table153815[[#This Row],[Novos Personais Ativados]]</f>
        <v>#DIV/0!</v>
      </c>
      <c r="O43" s="66">
        <v>0</v>
      </c>
      <c r="P43" s="67">
        <f>Table153815[[#This Row],[Personais 
Totais]]*Table153815[[#This Row],[Tx. % Churn]]</f>
        <v>0</v>
      </c>
      <c r="Q43" s="62">
        <f>Table153815[[#This Row],[Personais 
Totais]]-Table153815[[#This Row],[Qtde. Churn 
no Mês]]</f>
        <v>0</v>
      </c>
      <c r="R43" s="68">
        <v>15</v>
      </c>
      <c r="S43" s="69">
        <v>0</v>
      </c>
      <c r="T43" s="70">
        <v>0</v>
      </c>
      <c r="U43" s="62">
        <f>Table153815[[#This Row],[Personais 
Ativos Mês]]+(Table153815[[#This Row],[Personais 
Ativos Mês]]*Table153815[[#This Row],[Média Alunos Estimada 
Total Personal]])</f>
        <v>0</v>
      </c>
      <c r="V43" s="71">
        <v>0</v>
      </c>
      <c r="W43" s="71">
        <v>0</v>
      </c>
      <c r="X43" s="72">
        <f>Table153815[[#This Row],[Média Alunos Estimada 
Total Personal]]-(Table153815[[#This Row],[Tx. % Real Alunos 
não ativados]]*Table153815[[#This Row],[Média Alunos Estimada 
Total Personal]])</f>
        <v>9.75</v>
      </c>
      <c r="Y43" s="66">
        <v>0.35</v>
      </c>
      <c r="Z43" s="14" t="e">
        <f>AB43/Q43</f>
        <v>#DIV/0!</v>
      </c>
      <c r="AA43" s="62">
        <f>Table153815[[#This Row],[Média Real Alunos 
Ativos Personal]]*Table153815[[#This Row],[Personais 
Ativos Mês]]</f>
        <v>0</v>
      </c>
      <c r="AB43" s="14">
        <v>0</v>
      </c>
      <c r="AC43" s="14">
        <v>0</v>
      </c>
      <c r="AD43" s="14">
        <f>Table153815[[#This Row],[Faturamento 
Real Bruto]]</f>
        <v>0</v>
      </c>
      <c r="AE43" s="14">
        <v>0</v>
      </c>
      <c r="AF43" s="14">
        <f>Table153815[[#This Row],[Investimento no Mês
 (Growth) // 80%]]</f>
        <v>25070.608</v>
      </c>
      <c r="AG43" s="73">
        <v>0</v>
      </c>
      <c r="AH43" s="74">
        <v>0</v>
      </c>
    </row>
    <row r="44" spans="1:34">
      <c r="A44" s="60">
        <v>46054</v>
      </c>
      <c r="B44" s="61">
        <f t="shared" ref="B44:B56" si="21">B65*0.8</f>
        <v>4234.0559999999996</v>
      </c>
      <c r="C44" s="61">
        <f t="shared" ref="C44:C56" si="22">C65</f>
        <v>14</v>
      </c>
      <c r="D44" s="75">
        <v>516</v>
      </c>
      <c r="E44" s="63">
        <f t="shared" si="16"/>
        <v>0.2</v>
      </c>
      <c r="F44" s="64">
        <f>Table153815[[#This Row],[Novos Cadastros 
LP]]*Table153815[[#This Row],[Tx. % Install]]</f>
        <v>103.2</v>
      </c>
      <c r="G44" s="63">
        <f t="shared" si="17"/>
        <v>0.5</v>
      </c>
      <c r="H44" s="64">
        <f>Table153815[[#This Row],[Novos Installs no App]]*Table153815[[#This Row],[Tx % Ativações]]</f>
        <v>51.6</v>
      </c>
      <c r="I44" s="63">
        <f t="shared" si="18"/>
        <v>0.3</v>
      </c>
      <c r="J44" s="64">
        <f t="shared" si="19"/>
        <v>0</v>
      </c>
      <c r="K44" s="63">
        <f t="shared" si="20"/>
        <v>0</v>
      </c>
      <c r="L44" s="62">
        <f>(Table153815[[#This Row],[Novos Personais Habilitados]]*(Table153815[[#This Row],[Tx % de Conversão]])+Table153815[[#This Row],[Cadastros Evento Presencial]]*Table153815[[#This Row],[Tx % Ativação Presencial]])</f>
        <v>15.48</v>
      </c>
      <c r="M44" s="62">
        <f>Table153815[[#This Row],[Novos Personais Ativados]]+M43</f>
        <v>15.48</v>
      </c>
      <c r="N44" s="65">
        <f>Table153815[[#This Row],[Investimento no Mês
 (Growth) // 80%]]/Table153815[[#This Row],[Novos Personais Ativados]]</f>
        <v>273.51782945736431</v>
      </c>
      <c r="O44" s="66">
        <v>0.02</v>
      </c>
      <c r="P44" s="67">
        <f>M43*Table153815[[#This Row],[Tx. % Churn]]</f>
        <v>0</v>
      </c>
      <c r="Q44" s="62">
        <f>Table153815[[#This Row],[Personais 
Totais]]-Table153815[[#This Row],[Qtde. Churn 
no Mês]]</f>
        <v>15.48</v>
      </c>
      <c r="R44" s="68">
        <v>15</v>
      </c>
      <c r="S44" s="61">
        <v>1350</v>
      </c>
      <c r="T44" s="76">
        <f>Table153815[[#This Row],[Média Alunos Estimada 
Total Personal]]*Table153815[[#This Row],[Ticket Médio Aluno Personal]]</f>
        <v>20250</v>
      </c>
      <c r="U44" s="62">
        <f>Table153815[[#This Row],[Personais 
Ativos Mês]]+(Table153815[[#This Row],[Personais 
Ativos Mês]]*Table153815[[#This Row],[Média Alunos Estimada 
Total Personal]])</f>
        <v>247.68</v>
      </c>
      <c r="V44" s="77">
        <f>Table153815[[#This Row],[Média Faturamento
Estimada Personal]]*Q43</f>
        <v>0</v>
      </c>
      <c r="W44" s="77">
        <f>Table153815[[#This Row],[Faturamento Estimado]]*2%</f>
        <v>0</v>
      </c>
      <c r="X44" s="72">
        <f>Table153815[[#This Row],[Média Alunos Estimada 
Total Personal]]-(Table153815[[#This Row],[Tx. % Real Alunos 
não ativados]]*Table153815[[#This Row],[Média Alunos Estimada 
Total Personal]])</f>
        <v>4.5</v>
      </c>
      <c r="Y44" s="66">
        <v>0.7</v>
      </c>
      <c r="Z44" s="14">
        <f>Table153815[[#This Row],[Ticket Médio Aluno Personal]]*Table153815[[#This Row],[Média Real Alunos 
Ativos Personal]]</f>
        <v>6075</v>
      </c>
      <c r="AA44" s="62">
        <f>Table153815[[#This Row],[Média Real Alunos 
Ativos Personal]]*Table153815[[#This Row],[Personais 
Ativos Mês]]</f>
        <v>69.66</v>
      </c>
      <c r="AB44" s="14">
        <f>Table153815[[#This Row],[Média Real por Personal]]*Q43</f>
        <v>0</v>
      </c>
      <c r="AC44" s="14">
        <f>Table153815[[#This Row],[Faturamento 
Real Bruto]]*2%</f>
        <v>0</v>
      </c>
      <c r="AD44" s="14">
        <f>Table153815[[#This Row],[Faturamento 
Real Bruto]]+AB43</f>
        <v>0</v>
      </c>
      <c r="AE44" s="14">
        <f>Table153815[[#This Row],[Receita MUVX 
(2%)]]+AC43</f>
        <v>0</v>
      </c>
      <c r="AF44" s="14">
        <f>Table153815[[#This Row],[Investimento no Mês
 (Growth) // 80%]]+AF43</f>
        <v>29304.664000000001</v>
      </c>
      <c r="AG44" s="73">
        <f>Table153815[[#This Row],[Receita MUVX Acumulada]]/Table153815[[#This Row],[Investimento Acumulado]]</f>
        <v>0</v>
      </c>
      <c r="AH44" s="73">
        <f>Table153815[[#This Row],[ROI]]+AH43</f>
        <v>0</v>
      </c>
    </row>
    <row r="45" spans="1:34">
      <c r="A45" s="78">
        <v>46082</v>
      </c>
      <c r="B45" s="61">
        <f t="shared" si="21"/>
        <v>800</v>
      </c>
      <c r="C45" s="61">
        <f t="shared" si="22"/>
        <v>13.86</v>
      </c>
      <c r="D45" s="62">
        <f>Table153815[[#This Row],[Investimento no Mês
 (Growth) // 80%]]/Table153815[[#This Row],[CPL 
(cadastro)]]</f>
        <v>57.720057720057724</v>
      </c>
      <c r="E45" s="63">
        <f t="shared" si="16"/>
        <v>0.2</v>
      </c>
      <c r="F45" s="64">
        <f>Table153815[[#This Row],[Novos Cadastros 
LP]]*Table153815[[#This Row],[Tx. % Install]]</f>
        <v>11.544011544011546</v>
      </c>
      <c r="G45" s="63">
        <f t="shared" si="17"/>
        <v>0.5</v>
      </c>
      <c r="H45" s="64">
        <f>Table153815[[#This Row],[Novos Installs no App]]*Table153815[[#This Row],[Tx % Ativações]]</f>
        <v>5.7720057720057731</v>
      </c>
      <c r="I45" s="63">
        <f t="shared" si="18"/>
        <v>0.3</v>
      </c>
      <c r="J45" s="64">
        <f t="shared" si="19"/>
        <v>0</v>
      </c>
      <c r="K45" s="63">
        <f t="shared" si="20"/>
        <v>0</v>
      </c>
      <c r="L45" s="62">
        <f>(Table153815[[#This Row],[Novos Personais Habilitados]]*(Table153815[[#This Row],[Tx % de Conversão]])+Table153815[[#This Row],[Cadastros Evento Presencial]]*Table153815[[#This Row],[Tx % Ativação Presencial]])</f>
        <v>1.7316017316017318</v>
      </c>
      <c r="M45" s="62">
        <f>Table153815[[#This Row],[Novos Personais Ativados]]+M44</f>
        <v>17.211601731601732</v>
      </c>
      <c r="N45" s="65">
        <f>Table153815[[#This Row],[Investimento no Mês
 (Growth) // 80%]]/Table153815[[#This Row],[Novos Personais Ativados]]</f>
        <v>461.99999999999994</v>
      </c>
      <c r="O45" s="66">
        <v>0.03</v>
      </c>
      <c r="P45" s="67">
        <f>M44*Table153815[[#This Row],[Tx. % Churn]]</f>
        <v>0.46439999999999998</v>
      </c>
      <c r="Q45" s="62">
        <f>Table153815[[#This Row],[Personais 
Totais]]-Table153815[[#This Row],[Qtde. Churn 
no Mês]]</f>
        <v>16.747201731601731</v>
      </c>
      <c r="R45" s="68">
        <v>15</v>
      </c>
      <c r="S45" s="61">
        <f>S44*1.005</f>
        <v>1356.7499999999998</v>
      </c>
      <c r="T45" s="76">
        <f>Table153815[[#This Row],[Média Alunos Estimada 
Total Personal]]*Table153815[[#This Row],[Ticket Médio Aluno Personal]]</f>
        <v>20351.249999999996</v>
      </c>
      <c r="U45" s="62">
        <f>Table153815[[#This Row],[Personais 
Ativos Mês]]+(Table153815[[#This Row],[Personais 
Ativos Mês]]*Table153815[[#This Row],[Média Alunos Estimada 
Total Personal]])</f>
        <v>267.95522770562769</v>
      </c>
      <c r="V45" s="77">
        <f>Table153815[[#This Row],[Média Faturamento
Estimada Personal]]*Q44</f>
        <v>315037.34999999998</v>
      </c>
      <c r="W45" s="77">
        <f>Table153815[[#This Row],[Faturamento Estimado]]*2%</f>
        <v>6300.7469999999994</v>
      </c>
      <c r="X45" s="72">
        <f>Table153815[[#This Row],[Média Alunos Estimada 
Total Personal]]-(Table153815[[#This Row],[Tx. % Real Alunos 
não ativados]]*Table153815[[#This Row],[Média Alunos Estimada 
Total Personal]])</f>
        <v>14.25</v>
      </c>
      <c r="Y45" s="66">
        <v>0.05</v>
      </c>
      <c r="Z45" s="14">
        <f>Table153815[[#This Row],[Ticket Médio Aluno Personal]]*Table153815[[#This Row],[Média Real Alunos 
Ativos Personal]]</f>
        <v>19333.687499999996</v>
      </c>
      <c r="AA45" s="62">
        <f>Table153815[[#This Row],[Média Real Alunos 
Ativos Personal]]*Table153815[[#This Row],[Personais 
Ativos Mês]]</f>
        <v>238.64762467532466</v>
      </c>
      <c r="AB45" s="14">
        <f>Table153815[[#This Row],[Média Real por Personal]]*Q44</f>
        <v>299285.48249999993</v>
      </c>
      <c r="AC45" s="14">
        <f>Table153815[[#This Row],[Faturamento 
Real Bruto]]*2%</f>
        <v>5985.7096499999989</v>
      </c>
      <c r="AD45" s="14">
        <f>AD44+Table153815[[#This Row],[Faturamento 
Real Bruto]]</f>
        <v>299285.48249999993</v>
      </c>
      <c r="AE45" s="14">
        <f>AE44+Table153815[[#This Row],[Receita MUVX 
(2%)]]</f>
        <v>5985.7096499999989</v>
      </c>
      <c r="AF45" s="14">
        <f>Table153815[[#This Row],[Investimento no Mês
 (Growth) // 80%]]+AF44</f>
        <v>30104.664000000001</v>
      </c>
      <c r="AG45" s="73">
        <f>Table153815[[#This Row],[Receita MUVX Acumulada]]/Table153815[[#This Row],[Investimento Acumulado]]</f>
        <v>0.19882997697632496</v>
      </c>
      <c r="AH45" s="73">
        <f>Table153815[[#This Row],[ROI]]+AH44</f>
        <v>0.19882997697632496</v>
      </c>
    </row>
    <row r="46" spans="1:34">
      <c r="A46" s="60">
        <v>46113</v>
      </c>
      <c r="B46" s="61">
        <f t="shared" si="21"/>
        <v>800</v>
      </c>
      <c r="C46" s="61">
        <f t="shared" si="22"/>
        <v>13.721399999999999</v>
      </c>
      <c r="D46" s="62">
        <f>Table153815[[#This Row],[Investimento no Mês
 (Growth) // 80%]]/Table153815[[#This Row],[CPL 
(cadastro)]]</f>
        <v>58.303088606118912</v>
      </c>
      <c r="E46" s="63">
        <f t="shared" si="16"/>
        <v>0.2</v>
      </c>
      <c r="F46" s="64">
        <f>Table153815[[#This Row],[Novos Cadastros 
LP]]*Table153815[[#This Row],[Tx. % Install]]</f>
        <v>11.660617721223783</v>
      </c>
      <c r="G46" s="63">
        <f t="shared" si="17"/>
        <v>0.5</v>
      </c>
      <c r="H46" s="64">
        <f>Table153815[[#This Row],[Novos Installs no App]]*Table153815[[#This Row],[Tx % Ativações]]</f>
        <v>5.8303088606118916</v>
      </c>
      <c r="I46" s="63">
        <f t="shared" si="18"/>
        <v>0.3</v>
      </c>
      <c r="J46" s="64">
        <f t="shared" si="19"/>
        <v>0</v>
      </c>
      <c r="K46" s="63">
        <f t="shared" si="20"/>
        <v>0</v>
      </c>
      <c r="L46" s="62">
        <f>(Table153815[[#This Row],[Novos Personais Habilitados]]*(Table153815[[#This Row],[Tx % de Conversão]])+Table153815[[#This Row],[Cadastros Evento Presencial]]*Table153815[[#This Row],[Tx % Ativação Presencial]])</f>
        <v>1.7490926581835675</v>
      </c>
      <c r="M46" s="62">
        <f>Table153815[[#This Row],[Novos Personais Ativados]]+M45</f>
        <v>18.960694389785299</v>
      </c>
      <c r="N46" s="65">
        <f>Table153815[[#This Row],[Investimento no Mês
 (Growth) // 80%]]/Table153815[[#This Row],[Novos Personais Ativados]]</f>
        <v>457.37999999999994</v>
      </c>
      <c r="O46" s="66">
        <v>0.02</v>
      </c>
      <c r="P46" s="67">
        <f>M45*Table153815[[#This Row],[Tx. % Churn]]</f>
        <v>0.34423203463203467</v>
      </c>
      <c r="Q46" s="62">
        <f>Table153815[[#This Row],[Personais 
Totais]]-Table153815[[#This Row],[Qtde. Churn 
no Mês]]</f>
        <v>18.616462355153264</v>
      </c>
      <c r="R46" s="68">
        <v>15</v>
      </c>
      <c r="S46" s="61">
        <f t="shared" ref="S46:S56" si="23">S45*1.015</f>
        <v>1377.1012499999997</v>
      </c>
      <c r="T46" s="76">
        <f>Table153815[[#This Row],[Média Alunos Estimada 
Total Personal]]*Table153815[[#This Row],[Ticket Médio Aluno Personal]]</f>
        <v>20656.518749999996</v>
      </c>
      <c r="U46" s="62">
        <f>Table153815[[#This Row],[Personais 
Ativos Mês]]+(Table153815[[#This Row],[Personais 
Ativos Mês]]*Table153815[[#This Row],[Média Alunos Estimada 
Total Personal]])</f>
        <v>297.86339768245222</v>
      </c>
      <c r="V46" s="77">
        <f>Table153815[[#This Row],[Média Faturamento
Estimada Personal]]*Q45</f>
        <v>345938.88657886354</v>
      </c>
      <c r="W46" s="77">
        <f>Table153815[[#This Row],[Faturamento Estimado]]*2%</f>
        <v>6918.777731577271</v>
      </c>
      <c r="X46" s="72">
        <f>Table153815[[#This Row],[Média Alunos Estimada 
Total Personal]]-(Table153815[[#This Row],[Tx. % Real Alunos 
não ativados]]*Table153815[[#This Row],[Média Alunos Estimada 
Total Personal]])</f>
        <v>14.25</v>
      </c>
      <c r="Y46" s="66">
        <v>0.05</v>
      </c>
      <c r="Z46" s="14">
        <f>Table153815[[#This Row],[Ticket Médio Aluno Personal]]*Table153815[[#This Row],[Média Real Alunos 
Ativos Personal]]</f>
        <v>19623.692812499998</v>
      </c>
      <c r="AA46" s="62">
        <f>Table153815[[#This Row],[Média Real Alunos 
Ativos Personal]]*Table153815[[#This Row],[Personais 
Ativos Mês]]</f>
        <v>265.28458856093403</v>
      </c>
      <c r="AB46" s="14">
        <f>Table153815[[#This Row],[Média Real por Personal]]*Q45</f>
        <v>328641.94224992039</v>
      </c>
      <c r="AC46" s="14">
        <f>Table153815[[#This Row],[Faturamento 
Real Bruto]]*2%</f>
        <v>6572.8388449984077</v>
      </c>
      <c r="AD46" s="14">
        <f>AD45+Table153815[[#This Row],[Faturamento 
Real Bruto]]</f>
        <v>627927.42474992038</v>
      </c>
      <c r="AE46" s="14">
        <f>AE45+Table153815[[#This Row],[Receita MUVX 
(2%)]]</f>
        <v>12558.548494998406</v>
      </c>
      <c r="AF46" s="14">
        <f>Table153815[[#This Row],[Investimento no Mês
 (Growth) // 80%]]+AF45</f>
        <v>30904.664000000001</v>
      </c>
      <c r="AG46" s="73">
        <f>Table153815[[#This Row],[Receita MUVX Acumulada]]/Table153815[[#This Row],[Investimento Acumulado]]</f>
        <v>0.40636418163285665</v>
      </c>
      <c r="AH46" s="73">
        <f>Table153815[[#This Row],[ROI]]+AH45</f>
        <v>0.60519415860918158</v>
      </c>
    </row>
    <row r="47" spans="1:34">
      <c r="A47" s="78">
        <v>46143</v>
      </c>
      <c r="B47" s="61">
        <f t="shared" si="21"/>
        <v>4000</v>
      </c>
      <c r="C47" s="61">
        <f t="shared" si="22"/>
        <v>13.584185999999999</v>
      </c>
      <c r="D47" s="62">
        <f>Table153815[[#This Row],[Investimento no Mês
 (Growth) // 80%]]/Table153815[[#This Row],[CPL 
(cadastro)]]</f>
        <v>294.46004346524705</v>
      </c>
      <c r="E47" s="63">
        <f t="shared" si="16"/>
        <v>0.2</v>
      </c>
      <c r="F47" s="64">
        <f>Table153815[[#This Row],[Novos Cadastros 
LP]]*Table153815[[#This Row],[Tx. % Install]]</f>
        <v>58.892008693049412</v>
      </c>
      <c r="G47" s="63">
        <f t="shared" si="17"/>
        <v>0.6</v>
      </c>
      <c r="H47" s="64">
        <f>Table153815[[#This Row],[Novos Installs no App]]*Table153815[[#This Row],[Tx % Ativações]]</f>
        <v>35.335205215829646</v>
      </c>
      <c r="I47" s="63">
        <f t="shared" si="18"/>
        <v>0.3</v>
      </c>
      <c r="J47" s="64">
        <f t="shared" si="19"/>
        <v>0</v>
      </c>
      <c r="K47" s="63">
        <f t="shared" si="20"/>
        <v>0</v>
      </c>
      <c r="L47" s="62">
        <f>(Table153815[[#This Row],[Novos Personais Habilitados]]*(Table153815[[#This Row],[Tx % de Conversão]])+Table153815[[#This Row],[Cadastros Evento Presencial]]*Table153815[[#This Row],[Tx % Ativação Presencial]])</f>
        <v>10.600561564748894</v>
      </c>
      <c r="M47" s="62">
        <f>Table153815[[#This Row],[Novos Personais Ativados]]+M46</f>
        <v>29.561255954534193</v>
      </c>
      <c r="N47" s="65">
        <f>Table153815[[#This Row],[Investimento no Mês
 (Growth) // 80%]]/Table153815[[#This Row],[Novos Personais Ativados]]</f>
        <v>377.33849999999995</v>
      </c>
      <c r="O47" s="66">
        <v>0.02</v>
      </c>
      <c r="P47" s="67">
        <f>M46*Table153815[[#This Row],[Tx. % Churn]]</f>
        <v>0.37921388779570597</v>
      </c>
      <c r="Q47" s="62">
        <f>Table153815[[#This Row],[Personais 
Totais]]-Table153815[[#This Row],[Qtde. Churn 
no Mês]]</f>
        <v>29.182042066738486</v>
      </c>
      <c r="R47" s="68">
        <v>15</v>
      </c>
      <c r="S47" s="61">
        <f t="shared" si="23"/>
        <v>1397.7577687499995</v>
      </c>
      <c r="T47" s="76">
        <f>Table153815[[#This Row],[Média Alunos Estimada 
Total Personal]]*Table153815[[#This Row],[Ticket Médio Aluno Personal]]</f>
        <v>20966.366531249994</v>
      </c>
      <c r="U47" s="62">
        <f>Table153815[[#This Row],[Personais 
Ativos Mês]]+(Table153815[[#This Row],[Personais 
Ativos Mês]]*Table153815[[#This Row],[Média Alunos Estimada 
Total Personal]])</f>
        <v>466.91267306781577</v>
      </c>
      <c r="V47" s="77">
        <f>Table153815[[#This Row],[Média Faturamento
Estimada Personal]]*Q46</f>
        <v>390319.57325336081</v>
      </c>
      <c r="W47" s="77">
        <f>Table153815[[#This Row],[Faturamento Estimado]]*2%</f>
        <v>7806.3914650672159</v>
      </c>
      <c r="X47" s="72">
        <f>Table153815[[#This Row],[Média Alunos Estimada 
Total Personal]]-(Table153815[[#This Row],[Tx. % Real Alunos 
não ativados]]*Table153815[[#This Row],[Média Alunos Estimada 
Total Personal]])</f>
        <v>14.25</v>
      </c>
      <c r="Y47" s="66">
        <v>0.05</v>
      </c>
      <c r="Z47" s="14">
        <f>Table153815[[#This Row],[Ticket Médio Aluno Personal]]*Table153815[[#This Row],[Média Real Alunos 
Ativos Personal]]</f>
        <v>19918.048204687493</v>
      </c>
      <c r="AA47" s="62">
        <f>Table153815[[#This Row],[Média Real Alunos 
Ativos Personal]]*Table153815[[#This Row],[Personais 
Ativos Mês]]</f>
        <v>415.8440994510234</v>
      </c>
      <c r="AB47" s="14">
        <f>Table153815[[#This Row],[Média Real por Personal]]*Q46</f>
        <v>370803.59459069278</v>
      </c>
      <c r="AC47" s="14">
        <f>Table153815[[#This Row],[Faturamento 
Real Bruto]]*2%</f>
        <v>7416.0718918138555</v>
      </c>
      <c r="AD47" s="14">
        <f>AD46+Table153815[[#This Row],[Faturamento 
Real Bruto]]</f>
        <v>998731.01934061316</v>
      </c>
      <c r="AE47" s="14">
        <f>AE46+Table153815[[#This Row],[Receita MUVX 
(2%)]]</f>
        <v>19974.620386812261</v>
      </c>
      <c r="AF47" s="14">
        <f>Table153815[[#This Row],[Investimento no Mês
 (Growth) // 80%]]+AF46</f>
        <v>34904.664000000004</v>
      </c>
      <c r="AG47" s="73">
        <f>Table153815[[#This Row],[Receita MUVX Acumulada]]/Table153815[[#This Row],[Investimento Acumulado]]</f>
        <v>0.572262216499556</v>
      </c>
      <c r="AH47" s="73">
        <f>Table153815[[#This Row],[ROI]]+AH46</f>
        <v>1.1774563751087377</v>
      </c>
    </row>
    <row r="48" spans="1:34">
      <c r="A48" s="60">
        <v>46174</v>
      </c>
      <c r="B48" s="61">
        <f t="shared" si="21"/>
        <v>24000</v>
      </c>
      <c r="C48" s="61">
        <f t="shared" si="22"/>
        <v>13.44834414</v>
      </c>
      <c r="D48" s="62">
        <f>Table153815[[#This Row],[Investimento no Mês
 (Growth) // 80%]]/Table153815[[#This Row],[CPL 
(cadastro)]]</f>
        <v>1784.6063240318001</v>
      </c>
      <c r="E48" s="63">
        <v>0.3</v>
      </c>
      <c r="F48" s="64">
        <f>Table153815[[#This Row],[Novos Cadastros 
LP]]*Table153815[[#This Row],[Tx. % Install]]</f>
        <v>535.38189720954006</v>
      </c>
      <c r="G48" s="63">
        <f t="shared" si="17"/>
        <v>0.6</v>
      </c>
      <c r="H48" s="64">
        <f>Table153815[[#This Row],[Novos Installs no App]]*Table153815[[#This Row],[Tx % Ativações]]</f>
        <v>321.22913832572402</v>
      </c>
      <c r="I48" s="63">
        <f t="shared" si="18"/>
        <v>0.3</v>
      </c>
      <c r="J48" s="64">
        <f t="shared" si="19"/>
        <v>0</v>
      </c>
      <c r="K48" s="63">
        <f t="shared" si="20"/>
        <v>0</v>
      </c>
      <c r="L48" s="62">
        <f>(Table153815[[#This Row],[Novos Personais Habilitados]]*(Table153815[[#This Row],[Tx % de Conversão]])+Table153815[[#This Row],[Cadastros Evento Presencial]]*Table153815[[#This Row],[Tx % Ativação Presencial]])</f>
        <v>96.36874149771721</v>
      </c>
      <c r="M48" s="62">
        <f>Table153815[[#This Row],[Novos Personais Ativados]]+M47</f>
        <v>125.9299974522514</v>
      </c>
      <c r="N48" s="65">
        <f>Table153815[[#This Row],[Investimento no Mês
 (Growth) // 80%]]/Table153815[[#This Row],[Novos Personais Ativados]]</f>
        <v>249.04340999999999</v>
      </c>
      <c r="O48" s="66">
        <v>0.04</v>
      </c>
      <c r="P48" s="67">
        <f>M47*Table153815[[#This Row],[Tx. % Churn]]</f>
        <v>1.1824502381813677</v>
      </c>
      <c r="Q48" s="62">
        <f>Table153815[[#This Row],[Personais 
Totais]]-Table153815[[#This Row],[Qtde. Churn 
no Mês]]</f>
        <v>124.74754721407002</v>
      </c>
      <c r="R48" s="68">
        <v>15</v>
      </c>
      <c r="S48" s="61">
        <f t="shared" si="23"/>
        <v>1418.7241352812493</v>
      </c>
      <c r="T48" s="76">
        <f>Table153815[[#This Row],[Média Alunos Estimada 
Total Personal]]*Table153815[[#This Row],[Ticket Médio Aluno Personal]]</f>
        <v>21280.862029218741</v>
      </c>
      <c r="U48" s="62">
        <f>Table153815[[#This Row],[Personais 
Ativos Mês]]+(Table153815[[#This Row],[Personais 
Ativos Mês]]*Table153815[[#This Row],[Média Alunos Estimada 
Total Personal]])</f>
        <v>1995.9607554251204</v>
      </c>
      <c r="V48" s="77">
        <f>Table153815[[#This Row],[Média Faturamento
Estimada Personal]]*Q47</f>
        <v>621019.01095311902</v>
      </c>
      <c r="W48" s="77">
        <f>Table153815[[#This Row],[Faturamento Estimado]]*2%</f>
        <v>12420.380219062381</v>
      </c>
      <c r="X48" s="72">
        <f>Table153815[[#This Row],[Média Alunos Estimada 
Total Personal]]-(Table153815[[#This Row],[Tx. % Real Alunos 
não ativados]]*Table153815[[#This Row],[Média Alunos Estimada 
Total Personal]])</f>
        <v>14.25</v>
      </c>
      <c r="Y48" s="66">
        <v>0.05</v>
      </c>
      <c r="Z48" s="14">
        <f>Table153815[[#This Row],[Ticket Médio Aluno Personal]]*Table153815[[#This Row],[Média Real Alunos 
Ativos Personal]]</f>
        <v>20216.818927757802</v>
      </c>
      <c r="AA48" s="62">
        <f>Table153815[[#This Row],[Média Real Alunos 
Ativos Personal]]*Table153815[[#This Row],[Personais 
Ativos Mês]]</f>
        <v>1777.6525478004978</v>
      </c>
      <c r="AB48" s="14">
        <f>Table153815[[#This Row],[Média Real por Personal]]*Q47</f>
        <v>589968.06040546298</v>
      </c>
      <c r="AC48" s="14">
        <f>Table153815[[#This Row],[Faturamento 
Real Bruto]]*2%</f>
        <v>11799.36120810926</v>
      </c>
      <c r="AD48" s="14">
        <f>AD47+Table153815[[#This Row],[Faturamento 
Real Bruto]]</f>
        <v>1588699.0797460761</v>
      </c>
      <c r="AE48" s="14">
        <f>AE47+Table153815[[#This Row],[Receita MUVX 
(2%)]]</f>
        <v>31773.981594921519</v>
      </c>
      <c r="AF48" s="14">
        <f>Table153815[[#This Row],[Investimento no Mês
 (Growth) // 80%]]+AF47</f>
        <v>58904.664000000004</v>
      </c>
      <c r="AG48" s="73">
        <f>Table153815[[#This Row],[Receita MUVX Acumulada]]/Table153815[[#This Row],[Investimento Acumulado]]</f>
        <v>0.53941368029739578</v>
      </c>
      <c r="AH48" s="73">
        <f>Table153815[[#This Row],[ROI]]+AH47</f>
        <v>1.7168700554061336</v>
      </c>
    </row>
    <row r="49" spans="1:37">
      <c r="A49" s="78">
        <v>46204</v>
      </c>
      <c r="B49" s="61">
        <f t="shared" si="21"/>
        <v>80000</v>
      </c>
      <c r="C49" s="61">
        <f t="shared" si="22"/>
        <v>13.313860698599999</v>
      </c>
      <c r="D49" s="62">
        <f>Table153815[[#This Row],[Investimento no Mês
 (Growth) // 80%]]/Table153815[[#This Row],[CPL 
(cadastro)]]</f>
        <v>6008.7755017905729</v>
      </c>
      <c r="E49" s="63">
        <f t="shared" si="16"/>
        <v>0.3</v>
      </c>
      <c r="F49" s="64">
        <f>Table153815[[#This Row],[Novos Cadastros 
LP]]*Table153815[[#This Row],[Tx. % Install]]</f>
        <v>1802.6326505371719</v>
      </c>
      <c r="G49" s="63">
        <f t="shared" si="17"/>
        <v>0.6</v>
      </c>
      <c r="H49" s="64">
        <f>Table153815[[#This Row],[Novos Installs no App]]*Table153815[[#This Row],[Tx % Ativações]]</f>
        <v>1081.5795903223031</v>
      </c>
      <c r="I49" s="63">
        <f t="shared" si="18"/>
        <v>0.3</v>
      </c>
      <c r="J49" s="64">
        <f t="shared" si="19"/>
        <v>0</v>
      </c>
      <c r="K49" s="63">
        <f t="shared" si="20"/>
        <v>0.2</v>
      </c>
      <c r="L49" s="62">
        <f>(Table153815[[#This Row],[Novos Personais Habilitados]]*(Table153815[[#This Row],[Tx % de Conversão]])+Table153815[[#This Row],[Cadastros Evento Presencial]]*Table153815[[#This Row],[Tx % Ativação Presencial]])</f>
        <v>324.47387709669096</v>
      </c>
      <c r="M49" s="62">
        <f>Table153815[[#This Row],[Novos Personais Ativados]]+M48</f>
        <v>450.40387454894233</v>
      </c>
      <c r="N49" s="65">
        <f>Table153815[[#This Row],[Investimento no Mês
 (Growth) // 80%]]/Table153815[[#This Row],[Novos Personais Ativados]]</f>
        <v>246.55297589999998</v>
      </c>
      <c r="O49" s="66">
        <v>0.02</v>
      </c>
      <c r="P49" s="67">
        <f>M48*Table153815[[#This Row],[Tx. % Churn]]</f>
        <v>2.5185999490450279</v>
      </c>
      <c r="Q49" s="62">
        <f>Table153815[[#This Row],[Personais 
Totais]]-Table153815[[#This Row],[Qtde. Churn 
no Mês]]</f>
        <v>447.88527459989729</v>
      </c>
      <c r="R49" s="68">
        <v>15</v>
      </c>
      <c r="S49" s="61">
        <f t="shared" si="23"/>
        <v>1440.0049973104678</v>
      </c>
      <c r="T49" s="76">
        <f>Table153815[[#This Row],[Média Alunos Estimada 
Total Personal]]*Table153815[[#This Row],[Ticket Médio Aluno Personal]]</f>
        <v>21600.074959657017</v>
      </c>
      <c r="U49" s="62">
        <f>Table153815[[#This Row],[Personais 
Ativos Mês]]+(Table153815[[#This Row],[Personais 
Ativos Mês]]*Table153815[[#This Row],[Média Alunos Estimada 
Total Personal]])</f>
        <v>7166.1643935983566</v>
      </c>
      <c r="V49" s="77">
        <f>Table153815[[#This Row],[Média Faturamento
Estimada Personal]]*Q48</f>
        <v>2694556.3708572653</v>
      </c>
      <c r="W49" s="77">
        <f>Table153815[[#This Row],[Faturamento Estimado]]*2%</f>
        <v>53891.127417145304</v>
      </c>
      <c r="X49" s="72">
        <f>Table153815[[#This Row],[Média Alunos Estimada 
Total Personal]]-(Table153815[[#This Row],[Tx. % Real Alunos 
não ativados]]*Table153815[[#This Row],[Média Alunos Estimada 
Total Personal]])</f>
        <v>14.25</v>
      </c>
      <c r="Y49" s="66">
        <v>0.05</v>
      </c>
      <c r="Z49" s="14">
        <f>Table153815[[#This Row],[Ticket Médio Aluno Personal]]*Table153815[[#This Row],[Média Real Alunos 
Ativos Personal]]</f>
        <v>20520.071211674167</v>
      </c>
      <c r="AA49" s="62">
        <f>Table153815[[#This Row],[Média Real Alunos 
Ativos Personal]]*Table153815[[#This Row],[Personais 
Ativos Mês]]</f>
        <v>6382.3651630485365</v>
      </c>
      <c r="AB49" s="14">
        <f>Table153815[[#This Row],[Média Real por Personal]]*Q48</f>
        <v>2559828.5523144021</v>
      </c>
      <c r="AC49" s="14">
        <f>Table153815[[#This Row],[Faturamento 
Real Bruto]]*2%</f>
        <v>51196.571046288045</v>
      </c>
      <c r="AD49" s="14">
        <f>AD48+Table153815[[#This Row],[Faturamento 
Real Bruto]]</f>
        <v>4148527.6320604784</v>
      </c>
      <c r="AE49" s="14">
        <f>AE48+Table153815[[#This Row],[Receita MUVX 
(2%)]]</f>
        <v>82970.552641209564</v>
      </c>
      <c r="AF49" s="14">
        <f>Table153815[[#This Row],[Investimento no Mês
 (Growth) // 80%]]+AF48</f>
        <v>138904.66399999999</v>
      </c>
      <c r="AG49" s="73">
        <f>Table153815[[#This Row],[Receita MUVX Acumulada]]/Table153815[[#This Row],[Investimento Acumulado]]</f>
        <v>0.59732013491792879</v>
      </c>
      <c r="AH49" s="73">
        <f>Table153815[[#This Row],[ROI]]+AH48</f>
        <v>2.3141901903240623</v>
      </c>
    </row>
    <row r="50" spans="1:37">
      <c r="A50" s="60">
        <v>46235</v>
      </c>
      <c r="B50" s="61">
        <f t="shared" si="21"/>
        <v>80000</v>
      </c>
      <c r="C50" s="61">
        <f t="shared" si="22"/>
        <v>13.180722091613999</v>
      </c>
      <c r="D50" s="62">
        <f>Table153815[[#This Row],[Investimento no Mês
 (Growth) // 80%]]/Table153815[[#This Row],[CPL 
(cadastro)]]</f>
        <v>6069.4702038288615</v>
      </c>
      <c r="E50" s="63">
        <f t="shared" si="16"/>
        <v>0.3</v>
      </c>
      <c r="F50" s="64">
        <f>Table153815[[#This Row],[Novos Cadastros 
LP]]*Table153815[[#This Row],[Tx. % Install]]</f>
        <v>1820.8410611486584</v>
      </c>
      <c r="G50" s="63">
        <f t="shared" si="17"/>
        <v>0.6</v>
      </c>
      <c r="H50" s="64">
        <f>Table153815[[#This Row],[Novos Installs no App]]*Table153815[[#This Row],[Tx % Ativações]]</f>
        <v>1092.504636689195</v>
      </c>
      <c r="I50" s="63">
        <f t="shared" si="18"/>
        <v>0.3</v>
      </c>
      <c r="J50" s="64">
        <f t="shared" si="19"/>
        <v>0</v>
      </c>
      <c r="K50" s="63">
        <f t="shared" si="20"/>
        <v>0</v>
      </c>
      <c r="L50" s="62">
        <f>(Table153815[[#This Row],[Novos Personais Habilitados]]*(Table153815[[#This Row],[Tx % de Conversão]])+Table153815[[#This Row],[Cadastros Evento Presencial]]*Table153815[[#This Row],[Tx % Ativação Presencial]])</f>
        <v>327.75139100675847</v>
      </c>
      <c r="M50" s="62">
        <f>Table153815[[#This Row],[Novos Personais Ativados]]+M49</f>
        <v>778.15526555570079</v>
      </c>
      <c r="N50" s="65">
        <f>Table153815[[#This Row],[Investimento no Mês
 (Growth) // 80%]]/Table153815[[#This Row],[Novos Personais Ativados]]</f>
        <v>244.08744614100004</v>
      </c>
      <c r="O50" s="66">
        <v>0.02</v>
      </c>
      <c r="P50" s="67">
        <f>M49*Table153815[[#This Row],[Tx. % Churn]]</f>
        <v>9.008077490978847</v>
      </c>
      <c r="Q50" s="62">
        <f>Table153815[[#This Row],[Personais 
Totais]]-Table153815[[#This Row],[Qtde. Churn 
no Mês]]</f>
        <v>769.14718806472195</v>
      </c>
      <c r="R50" s="68">
        <v>15</v>
      </c>
      <c r="S50" s="61">
        <f t="shared" si="23"/>
        <v>1461.6050722701248</v>
      </c>
      <c r="T50" s="76">
        <f>Table153815[[#This Row],[Média Alunos Estimada 
Total Personal]]*Table153815[[#This Row],[Ticket Médio Aluno Personal]]</f>
        <v>21924.076084051871</v>
      </c>
      <c r="U50" s="62">
        <f>Table153815[[#This Row],[Personais 
Ativos Mês]]+(Table153815[[#This Row],[Personais 
Ativos Mês]]*Table153815[[#This Row],[Média Alunos Estimada 
Total Personal]])</f>
        <v>12306.355009035551</v>
      </c>
      <c r="V50" s="77">
        <f>Table153815[[#This Row],[Média Faturamento
Estimada Personal]]*Q49</f>
        <v>9819470.8372546136</v>
      </c>
      <c r="W50" s="77">
        <f>Table153815[[#This Row],[Faturamento Estimado]]*2%</f>
        <v>196389.41674509228</v>
      </c>
      <c r="X50" s="72">
        <f>Table153815[[#This Row],[Média Alunos Estimada 
Total Personal]]-(Table153815[[#This Row],[Tx. % Real Alunos 
não ativados]]*Table153815[[#This Row],[Média Alunos Estimada 
Total Personal]])</f>
        <v>14.25</v>
      </c>
      <c r="Y50" s="66">
        <v>0.05</v>
      </c>
      <c r="Z50" s="14">
        <f>Table153815[[#This Row],[Ticket Médio Aluno Personal]]*Table153815[[#This Row],[Média Real Alunos 
Ativos Personal]]</f>
        <v>20827.872279849278</v>
      </c>
      <c r="AA50" s="62">
        <f>Table153815[[#This Row],[Média Real Alunos 
Ativos Personal]]*Table153815[[#This Row],[Personais 
Ativos Mês]]</f>
        <v>10960.347429922287</v>
      </c>
      <c r="AB50" s="14">
        <f>Table153815[[#This Row],[Média Real por Personal]]*Q49</f>
        <v>9328497.2953918818</v>
      </c>
      <c r="AC50" s="14">
        <f>Table153815[[#This Row],[Faturamento 
Real Bruto]]*2%</f>
        <v>186569.94590783765</v>
      </c>
      <c r="AD50" s="14">
        <f>AD49+Table153815[[#This Row],[Faturamento 
Real Bruto]]</f>
        <v>13477024.927452359</v>
      </c>
      <c r="AE50" s="14">
        <f>AE49+Table153815[[#This Row],[Receita MUVX 
(2%)]]</f>
        <v>269540.49854904722</v>
      </c>
      <c r="AF50" s="14">
        <f>Table153815[[#This Row],[Investimento no Mês
 (Growth) // 80%]]+AF49</f>
        <v>218904.66399999999</v>
      </c>
      <c r="AG50" s="73">
        <f>Table153815[[#This Row],[Receita MUVX Acumulada]]/Table153815[[#This Row],[Investimento Acumulado]]</f>
        <v>1.2313145532113798</v>
      </c>
      <c r="AH50" s="73">
        <f>Table153815[[#This Row],[ROI]]+AH49</f>
        <v>3.5455047435354423</v>
      </c>
    </row>
    <row r="51" spans="1:37">
      <c r="A51" s="78">
        <v>46266</v>
      </c>
      <c r="B51" s="61">
        <f t="shared" si="21"/>
        <v>80000</v>
      </c>
      <c r="C51" s="61">
        <f t="shared" si="22"/>
        <v>13.048914870697859</v>
      </c>
      <c r="D51" s="62">
        <f>Table153815[[#This Row],[Investimento no Mês
 (Growth) // 80%]]/Table153815[[#This Row],[CPL 
(cadastro)]]</f>
        <v>6130.7779836655172</v>
      </c>
      <c r="E51" s="63">
        <f t="shared" si="16"/>
        <v>0.3</v>
      </c>
      <c r="F51" s="64">
        <f>Table153815[[#This Row],[Novos Cadastros 
LP]]*Table153815[[#This Row],[Tx. % Install]]</f>
        <v>1839.2333950996551</v>
      </c>
      <c r="G51" s="63">
        <f t="shared" si="17"/>
        <v>0.6</v>
      </c>
      <c r="H51" s="64">
        <f>Table153815[[#This Row],[Novos Installs no App]]*Table153815[[#This Row],[Tx % Ativações]]</f>
        <v>1103.5400370597931</v>
      </c>
      <c r="I51" s="63">
        <f t="shared" si="18"/>
        <v>0.3</v>
      </c>
      <c r="J51" s="64">
        <f t="shared" si="19"/>
        <v>0</v>
      </c>
      <c r="K51" s="63">
        <f t="shared" si="20"/>
        <v>0</v>
      </c>
      <c r="L51" s="62">
        <f>(Table153815[[#This Row],[Novos Personais Habilitados]]*(Table153815[[#This Row],[Tx % de Conversão]])+Table153815[[#This Row],[Cadastros Evento Presencial]]*Table153815[[#This Row],[Tx % Ativação Presencial]])</f>
        <v>331.06201111793791</v>
      </c>
      <c r="M51" s="62">
        <f>Table153815[[#This Row],[Novos Personais Ativados]]+M50</f>
        <v>1109.2172766736387</v>
      </c>
      <c r="N51" s="65">
        <f>Table153815[[#This Row],[Investimento no Mês
 (Growth) // 80%]]/Table153815[[#This Row],[Novos Personais Ativados]]</f>
        <v>241.64657167958998</v>
      </c>
      <c r="O51" s="66">
        <v>0.02</v>
      </c>
      <c r="P51" s="67">
        <f>M50*Table153815[[#This Row],[Tx. % Churn]]</f>
        <v>15.563105311114017</v>
      </c>
      <c r="Q51" s="62">
        <f>Table153815[[#This Row],[Personais 
Totais]]-Table153815[[#This Row],[Qtde. Churn 
no Mês]]</f>
        <v>1093.6541713625247</v>
      </c>
      <c r="R51" s="68">
        <v>15</v>
      </c>
      <c r="S51" s="61">
        <f t="shared" si="23"/>
        <v>1483.5291483541764</v>
      </c>
      <c r="T51" s="76">
        <f>Table153815[[#This Row],[Média Alunos Estimada 
Total Personal]]*Table153815[[#This Row],[Ticket Médio Aluno Personal]]</f>
        <v>22252.937225312646</v>
      </c>
      <c r="U51" s="62">
        <f>Table153815[[#This Row],[Personais 
Ativos Mês]]+(Table153815[[#This Row],[Personais 
Ativos Mês]]*Table153815[[#This Row],[Média Alunos Estimada 
Total Personal]])</f>
        <v>17498.466741800396</v>
      </c>
      <c r="V51" s="77">
        <f>Table153815[[#This Row],[Média Faturamento
Estimada Personal]]*Q50</f>
        <v>17115784.093029998</v>
      </c>
      <c r="W51" s="77">
        <f>Table153815[[#This Row],[Faturamento Estimado]]*2%</f>
        <v>342315.68186059996</v>
      </c>
      <c r="X51" s="72">
        <f>Table153815[[#This Row],[Média Alunos Estimada 
Total Personal]]-(Table153815[[#This Row],[Tx. % Real Alunos 
não ativados]]*Table153815[[#This Row],[Média Alunos Estimada 
Total Personal]])</f>
        <v>14.25</v>
      </c>
      <c r="Y51" s="66">
        <v>0.05</v>
      </c>
      <c r="Z51" s="14">
        <f>Table153815[[#This Row],[Ticket Médio Aluno Personal]]*Table153815[[#This Row],[Média Real Alunos 
Ativos Personal]]</f>
        <v>21140.290364047014</v>
      </c>
      <c r="AA51" s="62">
        <f>Table153815[[#This Row],[Média Real Alunos 
Ativos Personal]]*Table153815[[#This Row],[Personais 
Ativos Mês]]</f>
        <v>15584.571941915978</v>
      </c>
      <c r="AB51" s="14">
        <f>Table153815[[#This Row],[Média Real por Personal]]*Q50</f>
        <v>16259994.888378497</v>
      </c>
      <c r="AC51" s="14">
        <f>Table153815[[#This Row],[Faturamento 
Real Bruto]]*2%</f>
        <v>325199.89776756993</v>
      </c>
      <c r="AD51" s="14">
        <f>AD50+Table153815[[#This Row],[Faturamento 
Real Bruto]]</f>
        <v>29737019.815830857</v>
      </c>
      <c r="AE51" s="14">
        <f>AE50+Table153815[[#This Row],[Receita MUVX 
(2%)]]</f>
        <v>594740.39631661715</v>
      </c>
      <c r="AF51" s="14">
        <f>Table153815[[#This Row],[Investimento no Mês
 (Growth) // 80%]]+AF50</f>
        <v>298904.66399999999</v>
      </c>
      <c r="AG51" s="73">
        <f>Table153815[[#This Row],[Receita MUVX Acumulada]]/Table153815[[#This Row],[Investimento Acumulado]]</f>
        <v>1.9897327407263781</v>
      </c>
      <c r="AH51" s="73">
        <f>Table153815[[#This Row],[ROI]]+AH50</f>
        <v>5.5352374842618204</v>
      </c>
    </row>
    <row r="52" spans="1:37">
      <c r="A52" s="60">
        <v>46296</v>
      </c>
      <c r="B52" s="61">
        <f t="shared" si="21"/>
        <v>80000</v>
      </c>
      <c r="C52" s="61">
        <f t="shared" si="22"/>
        <v>12.91842572199088</v>
      </c>
      <c r="D52" s="62">
        <f>Table153815[[#This Row],[Investimento no Mês
 (Growth) // 80%]]/Table153815[[#This Row],[CPL 
(cadastro)]]</f>
        <v>6192.705034005573</v>
      </c>
      <c r="E52" s="63">
        <f t="shared" si="16"/>
        <v>0.3</v>
      </c>
      <c r="F52" s="64">
        <f>Table153815[[#This Row],[Novos Cadastros 
LP]]*Table153815[[#This Row],[Tx. % Install]]</f>
        <v>1857.8115102016718</v>
      </c>
      <c r="G52" s="63">
        <f t="shared" si="17"/>
        <v>0.6</v>
      </c>
      <c r="H52" s="64">
        <f>Table153815[[#This Row],[Novos Installs no App]]*Table153815[[#This Row],[Tx % Ativações]]</f>
        <v>1114.6869061210029</v>
      </c>
      <c r="I52" s="63">
        <f t="shared" si="18"/>
        <v>0.3</v>
      </c>
      <c r="J52" s="64">
        <f t="shared" si="19"/>
        <v>0</v>
      </c>
      <c r="K52" s="63">
        <f t="shared" si="20"/>
        <v>0</v>
      </c>
      <c r="L52" s="62">
        <f>(Table153815[[#This Row],[Novos Personais Habilitados]]*(Table153815[[#This Row],[Tx % de Conversão]])+Table153815[[#This Row],[Cadastros Evento Presencial]]*Table153815[[#This Row],[Tx % Ativação Presencial]])</f>
        <v>334.4060718363009</v>
      </c>
      <c r="M52" s="62">
        <f>Table153815[[#This Row],[Novos Personais Ativados]]+M51</f>
        <v>1443.6233485099397</v>
      </c>
      <c r="N52" s="65">
        <f>Table153815[[#This Row],[Investimento no Mês
 (Growth) // 80%]]/Table153815[[#This Row],[Novos Personais Ativados]]</f>
        <v>239.23010596279411</v>
      </c>
      <c r="O52" s="66">
        <v>0.03</v>
      </c>
      <c r="P52" s="67">
        <f>M51*Table153815[[#This Row],[Tx. % Churn]]</f>
        <v>33.276518300209162</v>
      </c>
      <c r="Q52" s="62">
        <f>Table153815[[#This Row],[Personais 
Totais]]-Table153815[[#This Row],[Qtde. Churn 
no Mês]]</f>
        <v>1410.3468302097306</v>
      </c>
      <c r="R52" s="68">
        <v>15</v>
      </c>
      <c r="S52" s="61">
        <f t="shared" si="23"/>
        <v>1505.7820855794889</v>
      </c>
      <c r="T52" s="76">
        <f>Table153815[[#This Row],[Média Alunos Estimada 
Total Personal]]*Table153815[[#This Row],[Ticket Médio Aluno Personal]]</f>
        <v>22586.731283692334</v>
      </c>
      <c r="U52" s="62">
        <f>Table153815[[#This Row],[Personais 
Ativos Mês]]+(Table153815[[#This Row],[Personais 
Ativos Mês]]*Table153815[[#This Row],[Média Alunos Estimada 
Total Personal]])</f>
        <v>22565.549283355689</v>
      </c>
      <c r="V52" s="77">
        <f>Table153815[[#This Row],[Média Faturamento
Estimada Personal]]*Q51</f>
        <v>24702072.885854553</v>
      </c>
      <c r="W52" s="77">
        <f>Table153815[[#This Row],[Faturamento Estimado]]*2%</f>
        <v>494041.45771709108</v>
      </c>
      <c r="X52" s="72">
        <f>Table153815[[#This Row],[Média Alunos Estimada 
Total Personal]]-(Table153815[[#This Row],[Tx. % Real Alunos 
não ativados]]*Table153815[[#This Row],[Média Alunos Estimada 
Total Personal]])</f>
        <v>14.25</v>
      </c>
      <c r="Y52" s="66">
        <v>0.05</v>
      </c>
      <c r="Z52" s="14">
        <f>Table153815[[#This Row],[Ticket Médio Aluno Personal]]*Table153815[[#This Row],[Média Real Alunos 
Ativos Personal]]</f>
        <v>21457.394719507716</v>
      </c>
      <c r="AA52" s="62">
        <f>Table153815[[#This Row],[Média Real Alunos 
Ativos Personal]]*Table153815[[#This Row],[Personais 
Ativos Mês]]</f>
        <v>20097.442330488662</v>
      </c>
      <c r="AB52" s="14">
        <f>Table153815[[#This Row],[Média Real por Personal]]*Q51</f>
        <v>23466969.241561826</v>
      </c>
      <c r="AC52" s="14">
        <f>Table153815[[#This Row],[Faturamento 
Real Bruto]]*2%</f>
        <v>469339.38483123656</v>
      </c>
      <c r="AD52" s="14">
        <f>AD51+Table153815[[#This Row],[Faturamento 
Real Bruto]]</f>
        <v>53203989.057392687</v>
      </c>
      <c r="AE52" s="14">
        <f>AE51+Table153815[[#This Row],[Receita MUVX 
(2%)]]</f>
        <v>1064079.7811478537</v>
      </c>
      <c r="AF52" s="14">
        <f>Table153815[[#This Row],[Investimento no Mês
 (Growth) // 80%]]+AF51</f>
        <v>378904.66399999999</v>
      </c>
      <c r="AG52" s="73">
        <f>Table153815[[#This Row],[Receita MUVX Acumulada]]/Table153815[[#This Row],[Investimento Acumulado]]</f>
        <v>2.8083047854693435</v>
      </c>
      <c r="AH52" s="73">
        <f>Table153815[[#This Row],[ROI]]+AH51</f>
        <v>8.343542269731163</v>
      </c>
    </row>
    <row r="53" spans="1:37">
      <c r="A53" s="78">
        <v>46327</v>
      </c>
      <c r="B53" s="61">
        <f t="shared" si="21"/>
        <v>80000</v>
      </c>
      <c r="C53" s="61">
        <f t="shared" si="22"/>
        <v>12.789241464770971</v>
      </c>
      <c r="D53" s="62">
        <f>Table153815[[#This Row],[Investimento no Mês
 (Growth) // 80%]]/Table153815[[#This Row],[CPL 
(cadastro)]]</f>
        <v>6255.2576101066397</v>
      </c>
      <c r="E53" s="63">
        <f t="shared" si="16"/>
        <v>0.3</v>
      </c>
      <c r="F53" s="64">
        <f>Table153815[[#This Row],[Novos Cadastros 
LP]]*Table153815[[#This Row],[Tx. % Install]]</f>
        <v>1876.5772830319918</v>
      </c>
      <c r="G53" s="63">
        <f t="shared" si="17"/>
        <v>0.6</v>
      </c>
      <c r="H53" s="64">
        <f>Table153815[[#This Row],[Novos Installs no App]]*Table153815[[#This Row],[Tx % Ativações]]</f>
        <v>1125.9463698191951</v>
      </c>
      <c r="I53" s="63">
        <f t="shared" si="18"/>
        <v>0.3</v>
      </c>
      <c r="J53" s="64">
        <f t="shared" si="19"/>
        <v>0</v>
      </c>
      <c r="K53" s="63">
        <f t="shared" si="20"/>
        <v>0</v>
      </c>
      <c r="L53" s="62">
        <f>(Table153815[[#This Row],[Novos Personais Habilitados]]*(Table153815[[#This Row],[Tx % de Conversão]])+Table153815[[#This Row],[Cadastros Evento Presencial]]*Table153815[[#This Row],[Tx % Ativação Presencial]])</f>
        <v>337.78391094575852</v>
      </c>
      <c r="M53" s="62">
        <f>Table153815[[#This Row],[Novos Personais Ativados]]+M52</f>
        <v>1781.4072594556983</v>
      </c>
      <c r="N53" s="65">
        <f>Table153815[[#This Row],[Investimento no Mês
 (Growth) // 80%]]/Table153815[[#This Row],[Novos Personais Ativados]]</f>
        <v>236.83780490316613</v>
      </c>
      <c r="O53" s="66">
        <v>0.02</v>
      </c>
      <c r="P53" s="67">
        <f>M52*Table153815[[#This Row],[Tx. % Churn]]</f>
        <v>28.872466970198793</v>
      </c>
      <c r="Q53" s="62">
        <f>Table153815[[#This Row],[Personais 
Totais]]-Table153815[[#This Row],[Qtde. Churn 
no Mês]]</f>
        <v>1752.5347924854996</v>
      </c>
      <c r="R53" s="68">
        <v>15</v>
      </c>
      <c r="S53" s="61">
        <f t="shared" si="23"/>
        <v>1528.3688168631811</v>
      </c>
      <c r="T53" s="76">
        <f>Table153815[[#This Row],[Média Alunos Estimada 
Total Personal]]*Table153815[[#This Row],[Ticket Médio Aluno Personal]]</f>
        <v>22925.532252947716</v>
      </c>
      <c r="U53" s="62">
        <f>Table153815[[#This Row],[Personais 
Ativos Mês]]+(Table153815[[#This Row],[Personais 
Ativos Mês]]*Table153815[[#This Row],[Média Alunos Estimada 
Total Personal]])</f>
        <v>28040.556679767993</v>
      </c>
      <c r="V53" s="77">
        <f>Table153815[[#This Row],[Média Faturamento
Estimada Personal]]*Q52</f>
        <v>32332951.743815754</v>
      </c>
      <c r="W53" s="77">
        <f>Table153815[[#This Row],[Faturamento Estimado]]*2%</f>
        <v>646659.03487631504</v>
      </c>
      <c r="X53" s="72">
        <f>Table153815[[#This Row],[Média Alunos Estimada 
Total Personal]]-(Table153815[[#This Row],[Tx. % Real Alunos 
não ativados]]*Table153815[[#This Row],[Média Alunos Estimada 
Total Personal]])</f>
        <v>14.25</v>
      </c>
      <c r="Y53" s="66">
        <v>0.05</v>
      </c>
      <c r="Z53" s="14">
        <f>Table153815[[#This Row],[Ticket Médio Aluno Personal]]*Table153815[[#This Row],[Média Real Alunos 
Ativos Personal]]</f>
        <v>21779.255640300329</v>
      </c>
      <c r="AA53" s="62">
        <f>Table153815[[#This Row],[Média Real Alunos 
Ativos Personal]]*Table153815[[#This Row],[Personais 
Ativos Mês]]</f>
        <v>24973.620792918369</v>
      </c>
      <c r="AB53" s="14">
        <f>Table153815[[#This Row],[Média Real por Personal]]*Q52</f>
        <v>30716304.156624965</v>
      </c>
      <c r="AC53" s="14">
        <f>Table153815[[#This Row],[Faturamento 
Real Bruto]]*2%</f>
        <v>614326.08313249936</v>
      </c>
      <c r="AD53" s="14">
        <f>AD52+Table153815[[#This Row],[Faturamento 
Real Bruto]]</f>
        <v>83920293.214017659</v>
      </c>
      <c r="AE53" s="14">
        <f>AE52+Table153815[[#This Row],[Receita MUVX 
(2%)]]</f>
        <v>1678405.8642803531</v>
      </c>
      <c r="AF53" s="14">
        <f>Table153815[[#This Row],[Investimento no Mês
 (Growth) // 80%]]+AF52</f>
        <v>458904.66399999999</v>
      </c>
      <c r="AG53" s="73">
        <f>Table153815[[#This Row],[Receita MUVX Acumulada]]/Table153815[[#This Row],[Investimento Acumulado]]</f>
        <v>3.6574173155066325</v>
      </c>
      <c r="AH53" s="73">
        <f>Table153815[[#This Row],[ROI]]+AH52</f>
        <v>12.000959585237796</v>
      </c>
    </row>
    <row r="54" spans="1:37">
      <c r="A54" s="60">
        <v>46357</v>
      </c>
      <c r="B54" s="61">
        <f t="shared" si="21"/>
        <v>80000</v>
      </c>
      <c r="C54" s="61">
        <f t="shared" si="22"/>
        <v>12.661349050123262</v>
      </c>
      <c r="D54" s="62">
        <f>Table153815[[#This Row],[Investimento no Mês
 (Growth) // 80%]]/Table153815[[#This Row],[CPL 
(cadastro)]]</f>
        <v>6318.4420304107471</v>
      </c>
      <c r="E54" s="63">
        <f t="shared" si="16"/>
        <v>0.3</v>
      </c>
      <c r="F54" s="64">
        <f>Table153815[[#This Row],[Novos Cadastros 
LP]]*Table153815[[#This Row],[Tx. % Install]]</f>
        <v>1895.5326091232241</v>
      </c>
      <c r="G54" s="63">
        <f t="shared" si="17"/>
        <v>0.6</v>
      </c>
      <c r="H54" s="64">
        <f>Table153815[[#This Row],[Novos Installs no App]]*Table153815[[#This Row],[Tx % Ativações]]</f>
        <v>1137.3195654739345</v>
      </c>
      <c r="I54" s="63">
        <f t="shared" si="18"/>
        <v>0.3</v>
      </c>
      <c r="J54" s="64">
        <f t="shared" si="19"/>
        <v>0</v>
      </c>
      <c r="K54" s="63">
        <f t="shared" si="20"/>
        <v>0</v>
      </c>
      <c r="L54" s="62">
        <f>(Table153815[[#This Row],[Novos Personais Habilitados]]*(Table153815[[#This Row],[Tx % de Conversão]])+Table153815[[#This Row],[Cadastros Evento Presencial]]*Table153815[[#This Row],[Tx % Ativação Presencial]])</f>
        <v>341.19586964218036</v>
      </c>
      <c r="M54" s="62">
        <f>Table153815[[#This Row],[Novos Personais Ativados]]+M53</f>
        <v>2122.6031290978785</v>
      </c>
      <c r="N54" s="65">
        <f>Table153815[[#This Row],[Investimento no Mês
 (Growth) // 80%]]/Table153815[[#This Row],[Novos Personais Ativados]]</f>
        <v>234.46942685413444</v>
      </c>
      <c r="O54" s="66">
        <v>0.03</v>
      </c>
      <c r="P54" s="67">
        <f>M53*Table153815[[#This Row],[Tx. % Churn]]</f>
        <v>53.442217783670948</v>
      </c>
      <c r="Q54" s="62">
        <f>Table153815[[#This Row],[Personais 
Totais]]-Table153815[[#This Row],[Qtde. Churn 
no Mês]]</f>
        <v>2069.1609113142076</v>
      </c>
      <c r="R54" s="68">
        <v>15</v>
      </c>
      <c r="S54" s="61">
        <f t="shared" si="23"/>
        <v>1551.2943491161286</v>
      </c>
      <c r="T54" s="76">
        <f>Table153815[[#This Row],[Média Alunos Estimada 
Total Personal]]*Table153815[[#This Row],[Ticket Médio Aluno Personal]]</f>
        <v>23269.41523674193</v>
      </c>
      <c r="U54" s="62">
        <f>Table153815[[#This Row],[Personais 
Ativos Mês]]+(Table153815[[#This Row],[Personais 
Ativos Mês]]*Table153815[[#This Row],[Média Alunos Estimada 
Total Personal]])</f>
        <v>33106.574581027322</v>
      </c>
      <c r="V54" s="77">
        <f>Table153815[[#This Row],[Média Faturamento
Estimada Personal]]*Q53</f>
        <v>40780459.803182438</v>
      </c>
      <c r="W54" s="77">
        <f>Table153815[[#This Row],[Faturamento Estimado]]*2%</f>
        <v>815609.19606364879</v>
      </c>
      <c r="X54" s="72">
        <f>Table153815[[#This Row],[Média Alunos Estimada 
Total Personal]]-(Table153815[[#This Row],[Tx. % Real Alunos 
não ativados]]*Table153815[[#This Row],[Média Alunos Estimada 
Total Personal]])</f>
        <v>14.25</v>
      </c>
      <c r="Y54" s="66">
        <v>0.05</v>
      </c>
      <c r="Z54" s="14">
        <f>Table153815[[#This Row],[Ticket Médio Aluno Personal]]*Table153815[[#This Row],[Média Real Alunos 
Ativos Personal]]</f>
        <v>22105.944474904834</v>
      </c>
      <c r="AA54" s="62">
        <f>Table153815[[#This Row],[Média Real Alunos 
Ativos Personal]]*Table153815[[#This Row],[Personais 
Ativos Mês]]</f>
        <v>29485.542986227458</v>
      </c>
      <c r="AB54" s="14">
        <f>Table153815[[#This Row],[Média Real por Personal]]*Q53</f>
        <v>38741436.813023321</v>
      </c>
      <c r="AC54" s="14">
        <f>Table153815[[#This Row],[Faturamento 
Real Bruto]]*2%</f>
        <v>774828.73626046639</v>
      </c>
      <c r="AD54" s="14">
        <f>AD53+Table153815[[#This Row],[Faturamento 
Real Bruto]]</f>
        <v>122661730.02704099</v>
      </c>
      <c r="AE54" s="14">
        <f>AE53+Table153815[[#This Row],[Receita MUVX 
(2%)]]</f>
        <v>2453234.6005408196</v>
      </c>
      <c r="AF54" s="14">
        <f>Table153815[[#This Row],[Investimento no Mês
 (Growth) // 80%]]+AF53</f>
        <v>538904.66399999999</v>
      </c>
      <c r="AG54" s="73">
        <f>Table153815[[#This Row],[Receita MUVX Acumulada]]/Table153815[[#This Row],[Investimento Acumulado]]</f>
        <v>4.5522608439343912</v>
      </c>
      <c r="AH54" s="73">
        <f>Table153815[[#This Row],[ROI]]+AH53</f>
        <v>16.553220429172185</v>
      </c>
    </row>
    <row r="55" spans="1:37">
      <c r="A55" s="78">
        <v>46388</v>
      </c>
      <c r="B55" s="61">
        <f t="shared" si="21"/>
        <v>80000</v>
      </c>
      <c r="C55" s="61">
        <f t="shared" si="22"/>
        <v>12.534735559622028</v>
      </c>
      <c r="D55" s="62">
        <f>Table153815[[#This Row],[Investimento no Mês
 (Growth) // 80%]]/Table153815[[#This Row],[CPL 
(cadastro)]]</f>
        <v>6382.264677182573</v>
      </c>
      <c r="E55" s="63">
        <f t="shared" si="16"/>
        <v>0.3</v>
      </c>
      <c r="F55" s="64">
        <f>Table153815[[#This Row],[Novos Cadastros 
LP]]*Table153815[[#This Row],[Tx. % Install]]</f>
        <v>1914.6794031547718</v>
      </c>
      <c r="G55" s="63">
        <f t="shared" si="17"/>
        <v>0.6</v>
      </c>
      <c r="H55" s="64">
        <f>Table153815[[#This Row],[Novos Installs no App]]*Table153815[[#This Row],[Tx % Ativações]]</f>
        <v>1148.8076418928631</v>
      </c>
      <c r="I55" s="63">
        <f t="shared" si="18"/>
        <v>0.3</v>
      </c>
      <c r="J55" s="64">
        <f t="shared" si="19"/>
        <v>0</v>
      </c>
      <c r="K55" s="63">
        <f t="shared" si="20"/>
        <v>0</v>
      </c>
      <c r="L55" s="62">
        <f>(Table153815[[#This Row],[Novos Personais Habilitados]]*(Table153815[[#This Row],[Tx % de Conversão]])+Table153815[[#This Row],[Cadastros Evento Presencial]]*Table153815[[#This Row],[Tx % Ativação Presencial]])</f>
        <v>344.64229256785893</v>
      </c>
      <c r="M55" s="62">
        <f>Table153815[[#This Row],[Novos Personais Ativados]]+M54</f>
        <v>2467.2454216657375</v>
      </c>
      <c r="N55" s="65">
        <f>Table153815[[#This Row],[Investimento no Mês
 (Growth) // 80%]]/Table153815[[#This Row],[Novos Personais Ativados]]</f>
        <v>232.12473258559311</v>
      </c>
      <c r="O55" s="66">
        <v>0.03</v>
      </c>
      <c r="P55" s="67">
        <f>M54*Table153815[[#This Row],[Tx. % Churn]]</f>
        <v>63.678093872936351</v>
      </c>
      <c r="Q55" s="62">
        <f>Table153815[[#This Row],[Personais 
Totais]]-Table153815[[#This Row],[Qtde. Churn 
no Mês]]</f>
        <v>2403.5673277928013</v>
      </c>
      <c r="R55" s="68">
        <v>15</v>
      </c>
      <c r="S55" s="61">
        <f t="shared" si="23"/>
        <v>1574.5637643528703</v>
      </c>
      <c r="T55" s="76">
        <f>Table153815[[#This Row],[Média Alunos Estimada 
Total Personal]]*Table153815[[#This Row],[Ticket Médio Aluno Personal]]</f>
        <v>23618.456465293053</v>
      </c>
      <c r="U55" s="62">
        <f>Table153815[[#This Row],[Personais 
Ativos Mês]]+(Table153815[[#This Row],[Personais 
Ativos Mês]]*Table153815[[#This Row],[Média Alunos Estimada 
Total Personal]])</f>
        <v>38457.07724468482</v>
      </c>
      <c r="V55" s="77">
        <f>Table153815[[#This Row],[Média Faturamento
Estimada Personal]]*Q54</f>
        <v>48870386.903560713</v>
      </c>
      <c r="W55" s="77">
        <f>Table153815[[#This Row],[Faturamento Estimado]]*2%</f>
        <v>977407.73807121429</v>
      </c>
      <c r="X55" s="72">
        <f>Table153815[[#This Row],[Média Alunos Estimada 
Total Personal]]-(Table153815[[#This Row],[Tx. % Real Alunos 
não ativados]]*Table153815[[#This Row],[Média Alunos Estimada 
Total Personal]])</f>
        <v>14.25</v>
      </c>
      <c r="Y55" s="66">
        <v>0.05</v>
      </c>
      <c r="Z55" s="14">
        <f>Table153815[[#This Row],[Ticket Médio Aluno Personal]]*Table153815[[#This Row],[Média Real Alunos 
Ativos Personal]]</f>
        <v>22437.5336420284</v>
      </c>
      <c r="AA55" s="62">
        <f>Table153815[[#This Row],[Média Real Alunos 
Ativos Personal]]*Table153815[[#This Row],[Personais 
Ativos Mês]]</f>
        <v>34250.834421047417</v>
      </c>
      <c r="AB55" s="14">
        <f>Table153815[[#This Row],[Média Real por Personal]]*Q54</f>
        <v>46426867.558382675</v>
      </c>
      <c r="AC55" s="14">
        <f>Table153815[[#This Row],[Faturamento 
Real Bruto]]*2%</f>
        <v>928537.35116765357</v>
      </c>
      <c r="AD55" s="14">
        <f>AD54+Table153815[[#This Row],[Faturamento 
Real Bruto]]</f>
        <v>169088597.58542365</v>
      </c>
      <c r="AE55" s="14">
        <f>AE54+Table153815[[#This Row],[Receita MUVX 
(2%)]]</f>
        <v>3381771.9517084733</v>
      </c>
      <c r="AF55" s="14">
        <f>Table153815[[#This Row],[Investimento no Mês
 (Growth) // 80%]]+AF54</f>
        <v>618904.66399999999</v>
      </c>
      <c r="AG55" s="73">
        <f>Table153815[[#This Row],[Receita MUVX Acumulada]]/Table153815[[#This Row],[Investimento Acumulado]]</f>
        <v>5.4641241994396621</v>
      </c>
      <c r="AH55" s="73">
        <f>Table153815[[#This Row],[ROI]]+AH54</f>
        <v>22.017344628611848</v>
      </c>
    </row>
    <row r="56" spans="1:37">
      <c r="A56" s="60">
        <v>46419</v>
      </c>
      <c r="B56" s="61">
        <f t="shared" si="21"/>
        <v>80000</v>
      </c>
      <c r="C56" s="61">
        <f t="shared" si="22"/>
        <v>12.409388204025808</v>
      </c>
      <c r="D56" s="62">
        <f>Table153815[[#This Row],[Investimento no Mês
 (Growth) // 80%]]/Table153815[[#This Row],[CPL 
(cadastro)]]</f>
        <v>6446.7319971541137</v>
      </c>
      <c r="E56" s="63">
        <f t="shared" si="16"/>
        <v>0.3</v>
      </c>
      <c r="F56" s="64">
        <f>Table153815[[#This Row],[Novos Cadastros 
LP]]*Table153815[[#This Row],[Tx. % Install]]</f>
        <v>1934.019599146234</v>
      </c>
      <c r="G56" s="63">
        <f t="shared" si="17"/>
        <v>0.6</v>
      </c>
      <c r="H56" s="64">
        <f>Table153815[[#This Row],[Novos Installs no App]]*Table153815[[#This Row],[Tx % Ativações]]</f>
        <v>1160.4117594877403</v>
      </c>
      <c r="I56" s="63">
        <f t="shared" si="18"/>
        <v>0.3</v>
      </c>
      <c r="J56" s="64">
        <f t="shared" si="19"/>
        <v>0</v>
      </c>
      <c r="K56" s="63">
        <f t="shared" si="20"/>
        <v>0</v>
      </c>
      <c r="L56" s="62">
        <f>(Table153815[[#This Row],[Novos Personais Habilitados]]*(Table153815[[#This Row],[Tx % de Conversão]])+Table153815[[#This Row],[Cadastros Evento Presencial]]*Table153815[[#This Row],[Tx % Ativação Presencial]])</f>
        <v>348.12352784632208</v>
      </c>
      <c r="M56" s="62">
        <f>Table153815[[#This Row],[Novos Personais Ativados]]+M55</f>
        <v>2815.3689495120598</v>
      </c>
      <c r="N56" s="65">
        <f>Table153815[[#This Row],[Investimento no Mês
 (Growth) // 80%]]/Table153815[[#This Row],[Novos Personais Ativados]]</f>
        <v>229.80348525973724</v>
      </c>
      <c r="O56" s="66">
        <v>0.06</v>
      </c>
      <c r="P56" s="67">
        <f>M55*Table153815[[#This Row],[Tx. % Churn]]</f>
        <v>148.03472529994426</v>
      </c>
      <c r="Q56" s="62">
        <f>Table153815[[#This Row],[Personais 
Totais]]-Table153815[[#This Row],[Qtde. Churn 
no Mês]]</f>
        <v>2667.3342242121157</v>
      </c>
      <c r="R56" s="68">
        <v>15</v>
      </c>
      <c r="S56" s="61">
        <f t="shared" si="23"/>
        <v>1598.1822208181632</v>
      </c>
      <c r="T56" s="76">
        <f>Table153815[[#This Row],[Média Alunos Estimada 
Total Personal]]*Table153815[[#This Row],[Ticket Médio Aluno Personal]]</f>
        <v>23972.733312272449</v>
      </c>
      <c r="U56" s="62">
        <f>Table153815[[#This Row],[Personais 
Ativos Mês]]+(Table153815[[#This Row],[Personais 
Ativos Mês]]*Table153815[[#This Row],[Média Alunos Estimada 
Total Personal]])</f>
        <v>42677.347587393851</v>
      </c>
      <c r="V56" s="77">
        <f>Table153815[[#This Row],[Média Faturamento
Estimada Personal]]*Q55</f>
        <v>57620078.54726816</v>
      </c>
      <c r="W56" s="77">
        <f>Table153815[[#This Row],[Faturamento Estimado]]*2%</f>
        <v>1152401.5709453633</v>
      </c>
      <c r="X56" s="72">
        <f>Table153815[[#This Row],[Média Alunos Estimada 
Total Personal]]-(Table153815[[#This Row],[Tx. % Real Alunos 
não ativados]]*Table153815[[#This Row],[Média Alunos Estimada 
Total Personal]])</f>
        <v>14.25</v>
      </c>
      <c r="Y56" s="66">
        <v>0.05</v>
      </c>
      <c r="Z56" s="14">
        <f>Table153815[[#This Row],[Ticket Médio Aluno Personal]]*Table153815[[#This Row],[Média Real Alunos 
Ativos Personal]]</f>
        <v>22774.096646658825</v>
      </c>
      <c r="AA56" s="62">
        <f>Table153815[[#This Row],[Média Real Alunos 
Ativos Personal]]*Table153815[[#This Row],[Personais 
Ativos Mês]]</f>
        <v>38009.512695022648</v>
      </c>
      <c r="AB56" s="14">
        <f>Table153815[[#This Row],[Média Real por Personal]]*Q55</f>
        <v>54739074.619904749</v>
      </c>
      <c r="AC56" s="14">
        <f>Table153815[[#This Row],[Faturamento 
Real Bruto]]*2%</f>
        <v>1094781.4923980951</v>
      </c>
      <c r="AD56" s="14">
        <f>AD55+Table153815[[#This Row],[Faturamento 
Real Bruto]]</f>
        <v>223827672.2053284</v>
      </c>
      <c r="AE56" s="14">
        <f>AE55+Table153815[[#This Row],[Receita MUVX 
(2%)]]</f>
        <v>4476553.4441065686</v>
      </c>
      <c r="AF56" s="14">
        <f>Table153815[[#This Row],[Investimento no Mês
 (Growth) // 80%]]+AF55</f>
        <v>698904.66399999999</v>
      </c>
      <c r="AG56" s="73">
        <f>Table153815[[#This Row],[Receita MUVX Acumulada]]/Table153815[[#This Row],[Investimento Acumulado]]</f>
        <v>6.4050988277659693</v>
      </c>
      <c r="AH56" s="73">
        <f>Table153815[[#This Row],[ROI]]+AH55</f>
        <v>28.422443456377817</v>
      </c>
    </row>
    <row r="57" spans="1:37" s="86" customFormat="1">
      <c r="A57" s="79"/>
      <c r="B57" s="80">
        <f>SUBTOTAL(109,B43:B56)</f>
        <v>698904.66399999999</v>
      </c>
      <c r="C57" s="80">
        <f>SUBTOTAL(101,C43:C56)</f>
        <v>13.105040557246058</v>
      </c>
      <c r="D57" s="81">
        <f>SUBTOTAL(109,D43:D56)</f>
        <v>54604.731885301153</v>
      </c>
      <c r="E57" s="82">
        <f>AVERAGE(E43:E56)</f>
        <v>0.25428571428571423</v>
      </c>
      <c r="F57" s="82">
        <f>Table153815[[#This Row],[Novos Cadastros 
LP]]*Table153815[[#This Row],[Tx. % Install]]</f>
        <v>13885.203250833718</v>
      </c>
      <c r="G57" s="82">
        <f t="shared" si="17"/>
        <v>0.53571428571428559</v>
      </c>
      <c r="H57" s="82">
        <f>Table153815[[#This Row],[Novos Installs no App]]*Table153815[[#This Row],[Tx % Ativações]]</f>
        <v>7438.501741518061</v>
      </c>
      <c r="I57" s="82">
        <f t="shared" si="18"/>
        <v>0.32857142857142846</v>
      </c>
      <c r="J57" s="81">
        <f t="shared" si="19"/>
        <v>0</v>
      </c>
      <c r="K57" s="82">
        <f t="shared" si="20"/>
        <v>0</v>
      </c>
      <c r="L57" s="83">
        <f>SUBTOTAL(109,L43:L56)</f>
        <v>2815.3689495120598</v>
      </c>
      <c r="M57" s="83">
        <f>AVERAGE(M43:M56)</f>
        <v>941.08343389626918</v>
      </c>
      <c r="N57" s="80" t="e">
        <f>SUBTOTAL(101,N43:N56)</f>
        <v>#DIV/0!</v>
      </c>
      <c r="O57" s="84">
        <f>AVERAGE(O43:O56)</f>
        <v>2.571428571428571E-2</v>
      </c>
      <c r="P57" s="83">
        <f>SUBTOTAL(109,P43:P56)</f>
        <v>356.76410113870651</v>
      </c>
      <c r="Q57" s="83">
        <f>Q56</f>
        <v>2667.3342242121157</v>
      </c>
      <c r="R57" s="83">
        <f>AVERAGE(R43:R56)</f>
        <v>15</v>
      </c>
      <c r="S57" s="85">
        <f>Table153815[[#This Row],[Média Faturamento
Estimada Personal]]/Table153815[[#This Row],[Média Alunos Estimada 
Total Personal]]</f>
        <v>1360.2616863354174</v>
      </c>
      <c r="T57" s="80">
        <f>SUBTOTAL(101,T43:T56)</f>
        <v>20403.925295031262</v>
      </c>
      <c r="U57" s="83">
        <f>Table153815[[#This Row],[Personais 
Ativos Mês]]+(Table153815[[#This Row],[Personais 
Ativos Mês]]*Table153815[[#This Row],[Média Alunos Estimada 
Total Personal]])</f>
        <v>42677.347587393851</v>
      </c>
      <c r="V57" s="85">
        <f>SUBTOTAL(109,V43:V56)</f>
        <v>235608076.00560883</v>
      </c>
      <c r="W57" s="85">
        <f>Table153815[[#This Row],[Faturamento Estimado]]*2%</f>
        <v>4712161.5201121764</v>
      </c>
      <c r="X57" s="83"/>
      <c r="Y57" s="83"/>
      <c r="Z57" s="85">
        <f>AVERAGE(Z44:Z56)</f>
        <v>19862.285109531989</v>
      </c>
      <c r="AA57" s="62"/>
      <c r="AB57" s="80">
        <f>SUBTOTAL(109,AB43:AB56)</f>
        <v>223827672.2053284</v>
      </c>
      <c r="AC57" s="80">
        <f>SUBTOTAL(109,AC43:AC56)</f>
        <v>4476553.4441065686</v>
      </c>
      <c r="AD57" s="80"/>
    </row>
    <row r="58" spans="1:37">
      <c r="A58" s="87"/>
      <c r="D58" s="15"/>
      <c r="E58" s="88"/>
      <c r="F58" s="88">
        <f>Table153815[[#This Row],[Novos Cadastros 
LP]]*Table153815[[#This Row],[Tx. % Install]]</f>
        <v>0</v>
      </c>
      <c r="G58" s="88">
        <f t="shared" si="17"/>
        <v>0</v>
      </c>
      <c r="H58" s="88">
        <f>Table153815[[#This Row],[Novos Installs no App]]*Table153815[[#This Row],[Tx % Ativações]]</f>
        <v>0</v>
      </c>
      <c r="I58" s="88">
        <f t="shared" si="18"/>
        <v>0</v>
      </c>
      <c r="J58" s="88">
        <f t="shared" si="19"/>
        <v>0</v>
      </c>
      <c r="K58" s="88">
        <f t="shared" si="20"/>
        <v>0</v>
      </c>
      <c r="S58" s="15"/>
      <c r="U58" s="15"/>
      <c r="V58" s="15"/>
      <c r="W58" s="15"/>
      <c r="X58" s="62"/>
      <c r="AA58" s="83"/>
    </row>
    <row r="59" spans="1:37">
      <c r="A59" s="87"/>
      <c r="C59" s="89" t="s">
        <v>253</v>
      </c>
      <c r="D59" s="90">
        <f>D57/130000</f>
        <v>0.42003639911770119</v>
      </c>
      <c r="E59" s="91"/>
      <c r="F59" s="91">
        <f>Table153815[[#This Row],[Novos Cadastros 
LP]]*Table153815[[#This Row],[Tx. % Install]]</f>
        <v>0</v>
      </c>
      <c r="G59" s="91">
        <f t="shared" si="17"/>
        <v>0</v>
      </c>
      <c r="H59" s="91">
        <f>Table153815[[#This Row],[Novos Installs no App]]*Table153815[[#This Row],[Tx % Ativações]]</f>
        <v>0</v>
      </c>
      <c r="I59" s="91">
        <f t="shared" si="18"/>
        <v>0</v>
      </c>
      <c r="J59" s="91">
        <f t="shared" si="19"/>
        <v>0</v>
      </c>
      <c r="K59" s="91">
        <f t="shared" si="20"/>
        <v>0</v>
      </c>
      <c r="L59" s="90"/>
      <c r="P59" s="89" t="s">
        <v>253</v>
      </c>
      <c r="Q59" s="90">
        <f>Q57/130000</f>
        <v>2.0517955570862428E-2</v>
      </c>
      <c r="S59" s="15"/>
      <c r="U59" s="15"/>
      <c r="V59" s="15"/>
      <c r="W59" s="15"/>
      <c r="X59" s="62"/>
      <c r="AA59" s="62"/>
      <c r="AB59" s="93"/>
      <c r="AC59" s="89"/>
    </row>
    <row r="60" spans="1:37">
      <c r="A60" s="87"/>
      <c r="C60" s="89"/>
      <c r="D60" s="90"/>
      <c r="E60" s="91"/>
      <c r="F60" s="91"/>
      <c r="G60" s="91"/>
      <c r="H60" s="91"/>
      <c r="I60" s="91"/>
      <c r="J60" s="91"/>
      <c r="K60" s="91"/>
      <c r="L60" s="90"/>
      <c r="P60" s="89"/>
      <c r="Q60" s="90"/>
      <c r="S60" s="15"/>
      <c r="U60" s="15"/>
      <c r="V60" s="15"/>
      <c r="W60" s="15"/>
      <c r="X60" s="62"/>
      <c r="AA60" s="62"/>
      <c r="AB60" s="93"/>
      <c r="AC60" s="89"/>
    </row>
    <row r="62" spans="1:37">
      <c r="C62" s="184" t="s">
        <v>213</v>
      </c>
      <c r="D62" s="184"/>
      <c r="E62" s="189" t="s">
        <v>257</v>
      </c>
      <c r="F62" s="189"/>
      <c r="G62" s="190" t="s">
        <v>215</v>
      </c>
      <c r="H62" s="190"/>
      <c r="I62" s="189" t="s">
        <v>216</v>
      </c>
      <c r="J62" s="189"/>
      <c r="K62" s="189"/>
      <c r="L62" s="189"/>
      <c r="M62" s="189"/>
      <c r="N62" s="188" t="s">
        <v>217</v>
      </c>
      <c r="O62" s="188"/>
      <c r="P62" s="188"/>
      <c r="Q62" s="188"/>
      <c r="X62" s="184" t="s">
        <v>218</v>
      </c>
      <c r="Y62" s="184"/>
      <c r="Z62" s="184"/>
      <c r="AA62" s="184"/>
      <c r="AB62" s="184"/>
      <c r="AC62" s="184"/>
      <c r="AD62" s="184"/>
    </row>
    <row r="63" spans="1:37" ht="57.95" customHeight="1">
      <c r="A63" s="95" t="s">
        <v>219</v>
      </c>
      <c r="B63" s="96" t="s">
        <v>258</v>
      </c>
      <c r="C63" s="97" t="s">
        <v>221</v>
      </c>
      <c r="D63" s="97" t="s">
        <v>222</v>
      </c>
      <c r="E63" s="98" t="s">
        <v>223</v>
      </c>
      <c r="F63" s="98" t="s">
        <v>224</v>
      </c>
      <c r="G63" s="97" t="s">
        <v>225</v>
      </c>
      <c r="H63" s="97" t="s">
        <v>226</v>
      </c>
      <c r="I63" s="98" t="s">
        <v>227</v>
      </c>
      <c r="J63" s="98" t="s">
        <v>228</v>
      </c>
      <c r="K63" s="98" t="s">
        <v>229</v>
      </c>
      <c r="L63" s="98" t="s">
        <v>230</v>
      </c>
      <c r="M63" s="97" t="s">
        <v>259</v>
      </c>
      <c r="N63" s="98" t="s">
        <v>231</v>
      </c>
      <c r="O63" s="95" t="s">
        <v>232</v>
      </c>
      <c r="P63" s="95" t="s">
        <v>233</v>
      </c>
      <c r="Q63" s="95" t="s">
        <v>234</v>
      </c>
      <c r="R63" s="95" t="s">
        <v>235</v>
      </c>
      <c r="S63" s="95" t="s">
        <v>236</v>
      </c>
      <c r="T63" s="95" t="s">
        <v>237</v>
      </c>
      <c r="U63" s="95" t="s">
        <v>260</v>
      </c>
      <c r="V63" s="95" t="s">
        <v>239</v>
      </c>
      <c r="W63" s="95" t="s">
        <v>240</v>
      </c>
      <c r="X63" s="95" t="s">
        <v>241</v>
      </c>
      <c r="Y63" s="99" t="s">
        <v>242</v>
      </c>
      <c r="Z63" s="99" t="s">
        <v>243</v>
      </c>
      <c r="AA63" s="99" t="s">
        <v>261</v>
      </c>
      <c r="AB63" s="99" t="s">
        <v>245</v>
      </c>
      <c r="AC63" s="99" t="s">
        <v>246</v>
      </c>
      <c r="AD63" s="99" t="s">
        <v>247</v>
      </c>
      <c r="AE63" s="99" t="s">
        <v>262</v>
      </c>
      <c r="AF63" s="99" t="s">
        <v>263</v>
      </c>
      <c r="AG63" s="99" t="s">
        <v>248</v>
      </c>
      <c r="AH63" s="100" t="s">
        <v>249</v>
      </c>
      <c r="AI63" s="100" t="s">
        <v>250</v>
      </c>
      <c r="AJ63" s="95" t="s">
        <v>251</v>
      </c>
      <c r="AK63" s="95" t="s">
        <v>252</v>
      </c>
    </row>
    <row r="64" spans="1:37">
      <c r="A64" s="78">
        <v>46023</v>
      </c>
      <c r="B64" s="101" cm="1">
        <f t="array" ref="B64">INDEX(Fluxo_Caixa_Mensal!$H$90:$S$90, ROW(B64)-ROW($B$64)+1)</f>
        <v>31338.26</v>
      </c>
      <c r="C64" s="101">
        <v>12</v>
      </c>
      <c r="D64" s="102">
        <v>1845</v>
      </c>
      <c r="E64" s="103">
        <v>0.06</v>
      </c>
      <c r="F64" s="104">
        <f t="shared" ref="F64:F77" si="24">F3+F23+F43</f>
        <v>156.69130000000001</v>
      </c>
      <c r="G64" s="103">
        <v>0</v>
      </c>
      <c r="H64" s="104">
        <f t="shared" ref="H64:H77" si="25">H3+H23+H43</f>
        <v>0</v>
      </c>
      <c r="I64" s="103">
        <v>0.7</v>
      </c>
      <c r="J64" s="105">
        <v>0</v>
      </c>
      <c r="K64" s="103">
        <v>0</v>
      </c>
      <c r="L64" s="105">
        <f t="shared" ref="L64:L77" si="26">L3+L23+L43</f>
        <v>0</v>
      </c>
      <c r="M64" s="150">
        <f>L64/D64</f>
        <v>0</v>
      </c>
      <c r="N64" s="105">
        <f t="shared" ref="N64:N65" si="27">M3+M23+M43</f>
        <v>0</v>
      </c>
      <c r="O64" s="106">
        <f>IFERROR(AVERAGE(N3,N23,N43),0)</f>
        <v>0</v>
      </c>
      <c r="P64" s="103">
        <f t="shared" ref="P64:P77" si="28">AVERAGE(O3,O23,O43)</f>
        <v>0</v>
      </c>
      <c r="Q64" s="104">
        <f t="shared" ref="Q64:R77" si="29">P3+P23+P43</f>
        <v>0</v>
      </c>
      <c r="R64" s="62">
        <f t="shared" si="29"/>
        <v>0</v>
      </c>
      <c r="S64" s="62">
        <f t="shared" ref="S64:S77" si="30">R43</f>
        <v>15</v>
      </c>
      <c r="T64" s="106">
        <f t="shared" ref="T64:T77" si="31">AVERAGE(S3,S23,S43)</f>
        <v>0</v>
      </c>
      <c r="U64" s="106" t="str">
        <f t="shared" ref="U64:U77" si="32">IFERROR((M3*T3 + M23*T23 + M43*T43)/(M3 + M23 + M43),"0"
)</f>
        <v>0</v>
      </c>
      <c r="V64" s="62">
        <f t="shared" ref="V64:X77" si="33">U3+U23+U43</f>
        <v>0</v>
      </c>
      <c r="W64" s="15">
        <f t="shared" si="33"/>
        <v>0</v>
      </c>
      <c r="X64" s="15">
        <f t="shared" si="33"/>
        <v>0</v>
      </c>
      <c r="Y64" s="67">
        <f t="shared" ref="Y64:Z77" si="34">AVERAGE(X3,X23,X43)</f>
        <v>9.75</v>
      </c>
      <c r="Z64" s="103">
        <f t="shared" si="34"/>
        <v>0.34999999999999992</v>
      </c>
      <c r="AA64" s="106" t="str">
        <f t="shared" ref="AA64:AA77" si="35">IFERROR((M3*Z3 + M23*Z23 + M43*Z43)/(M3 + M23 + M43),"0"
)</f>
        <v>0</v>
      </c>
      <c r="AB64" s="105">
        <f t="shared" ref="AB64:AD77" si="36">AA3+AA23+AA43</f>
        <v>0</v>
      </c>
      <c r="AC64" s="106">
        <f t="shared" si="36"/>
        <v>0</v>
      </c>
      <c r="AD64" s="106">
        <f t="shared" si="36"/>
        <v>0</v>
      </c>
      <c r="AE64" s="106"/>
      <c r="AF64" s="106"/>
      <c r="AG64" s="106">
        <f t="shared" ref="AG64:AG77" si="37">AD3+AD23+AD43</f>
        <v>0</v>
      </c>
      <c r="AH64" s="106">
        <f t="shared" ref="AH64:AH77" si="38">AE3+AE23+AE43</f>
        <v>0</v>
      </c>
      <c r="AI64" s="106">
        <f t="shared" ref="AI64:AI77" si="39">AF3+AF23+AF43</f>
        <v>31338.260000000002</v>
      </c>
    </row>
    <row r="65" spans="1:37">
      <c r="A65" s="60">
        <v>46054</v>
      </c>
      <c r="B65" s="101" cm="1">
        <f t="array" ref="B65">INDEX(Fluxo_Caixa_Mensal!$H$90:$S$90, ROW(B65)-ROW($B$64)+1)</f>
        <v>5292.57</v>
      </c>
      <c r="C65" s="101">
        <v>14</v>
      </c>
      <c r="D65" s="105">
        <f t="shared" ref="D65:D77" si="40">D4+D24+D44</f>
        <v>2578</v>
      </c>
      <c r="E65" s="103">
        <v>0.2</v>
      </c>
      <c r="F65" s="104">
        <f t="shared" si="24"/>
        <v>515.6</v>
      </c>
      <c r="G65" s="103">
        <v>0.5</v>
      </c>
      <c r="H65" s="104">
        <f t="shared" si="25"/>
        <v>257.8</v>
      </c>
      <c r="I65" s="103">
        <v>0.3</v>
      </c>
      <c r="J65" s="105">
        <v>0</v>
      </c>
      <c r="K65" s="103">
        <v>0</v>
      </c>
      <c r="L65" s="105">
        <f t="shared" si="26"/>
        <v>77.34</v>
      </c>
      <c r="M65" s="150">
        <f>L65/D65</f>
        <v>3.0000000000000002E-2</v>
      </c>
      <c r="N65" s="105">
        <f t="shared" si="27"/>
        <v>77.34</v>
      </c>
      <c r="O65" s="106">
        <f t="shared" ref="O65:O77" si="41">AVERAGE(N4,N24,N44)</f>
        <v>102.58023995167882</v>
      </c>
      <c r="P65" s="103">
        <f t="shared" si="28"/>
        <v>0.02</v>
      </c>
      <c r="Q65" s="104">
        <f t="shared" si="29"/>
        <v>0</v>
      </c>
      <c r="R65" s="62">
        <f t="shared" si="29"/>
        <v>77.34</v>
      </c>
      <c r="S65" s="62">
        <f t="shared" si="30"/>
        <v>15</v>
      </c>
      <c r="T65" s="106">
        <f t="shared" si="31"/>
        <v>766.66666666666663</v>
      </c>
      <c r="U65" s="106">
        <f t="shared" si="32"/>
        <v>9752.0364623739333</v>
      </c>
      <c r="V65" s="62">
        <f t="shared" si="33"/>
        <v>1237.44</v>
      </c>
      <c r="W65" s="15">
        <f t="shared" si="33"/>
        <v>0</v>
      </c>
      <c r="X65" s="15">
        <f t="shared" si="33"/>
        <v>0</v>
      </c>
      <c r="Y65" s="67">
        <f t="shared" si="34"/>
        <v>4.5</v>
      </c>
      <c r="Z65" s="103">
        <f t="shared" si="34"/>
        <v>0.69999999999999984</v>
      </c>
      <c r="AA65" s="106">
        <f t="shared" si="35"/>
        <v>2925.6109387121796</v>
      </c>
      <c r="AB65" s="105">
        <f t="shared" si="36"/>
        <v>348.03</v>
      </c>
      <c r="AC65" s="106">
        <f t="shared" si="36"/>
        <v>0</v>
      </c>
      <c r="AD65" s="106">
        <f t="shared" si="36"/>
        <v>0</v>
      </c>
      <c r="AE65" s="106"/>
      <c r="AF65" s="106"/>
      <c r="AG65" s="106">
        <f t="shared" si="37"/>
        <v>0</v>
      </c>
      <c r="AH65" s="106">
        <f t="shared" si="38"/>
        <v>0</v>
      </c>
      <c r="AI65" s="106">
        <f t="shared" si="39"/>
        <v>36630.83</v>
      </c>
    </row>
    <row r="66" spans="1:37">
      <c r="A66" s="78">
        <v>46082</v>
      </c>
      <c r="B66" s="101" cm="1">
        <f t="array" ref="B66">INDEX(Fluxo_Caixa_Mensal!$H$90:$S$90, ROW(B66)-ROW($B$64)+1)</f>
        <v>1000</v>
      </c>
      <c r="C66" s="101">
        <f>C65*0.99</f>
        <v>13.86</v>
      </c>
      <c r="D66" s="105">
        <f t="shared" si="40"/>
        <v>72.150072150072162</v>
      </c>
      <c r="E66" s="103">
        <v>0.2</v>
      </c>
      <c r="F66" s="104">
        <f t="shared" si="24"/>
        <v>14.430014430014433</v>
      </c>
      <c r="G66" s="103">
        <v>0.5</v>
      </c>
      <c r="H66" s="104">
        <f t="shared" si="25"/>
        <v>7.2150072150072164</v>
      </c>
      <c r="I66" s="103">
        <v>0.3</v>
      </c>
      <c r="J66" s="105">
        <v>0</v>
      </c>
      <c r="K66" s="103">
        <v>0</v>
      </c>
      <c r="L66" s="105">
        <f t="shared" si="26"/>
        <v>2.1645021645021649</v>
      </c>
      <c r="M66" s="150">
        <f>L66/D66</f>
        <v>3.0000000000000002E-2</v>
      </c>
      <c r="N66" s="105">
        <f>M5+M25+M45</f>
        <v>79.504502164502171</v>
      </c>
      <c r="O66" s="106">
        <f t="shared" si="41"/>
        <v>461.99999999999994</v>
      </c>
      <c r="P66" s="103">
        <f t="shared" si="28"/>
        <v>0.03</v>
      </c>
      <c r="Q66" s="104">
        <f t="shared" si="29"/>
        <v>2.3201999999999998</v>
      </c>
      <c r="R66" s="62">
        <f t="shared" si="29"/>
        <v>77.184302164502171</v>
      </c>
      <c r="S66" s="62">
        <f t="shared" si="30"/>
        <v>15</v>
      </c>
      <c r="T66" s="106">
        <f t="shared" si="31"/>
        <v>770.49999999999989</v>
      </c>
      <c r="U66" s="106">
        <f t="shared" si="32"/>
        <v>10025.443343212341</v>
      </c>
      <c r="V66" s="62">
        <f t="shared" si="33"/>
        <v>1234.9488346320347</v>
      </c>
      <c r="W66" s="15">
        <f t="shared" si="33"/>
        <v>757993.61249999993</v>
      </c>
      <c r="X66" s="15">
        <f t="shared" si="33"/>
        <v>15159.872249999999</v>
      </c>
      <c r="Y66" s="67">
        <f t="shared" si="34"/>
        <v>14.25</v>
      </c>
      <c r="Z66" s="103">
        <f t="shared" si="34"/>
        <v>5.000000000000001E-2</v>
      </c>
      <c r="AA66" s="106">
        <f t="shared" si="35"/>
        <v>9524.1711760517228</v>
      </c>
      <c r="AB66" s="105">
        <f t="shared" si="36"/>
        <v>1099.8763058441559</v>
      </c>
      <c r="AC66" s="106">
        <f t="shared" si="36"/>
        <v>720093.93187499978</v>
      </c>
      <c r="AD66" s="106">
        <f>AC5+AC25+AC45</f>
        <v>14401.878637499996</v>
      </c>
      <c r="AE66" s="106">
        <f>((((Q45+Q25)/R66))*R66)*189.9</f>
        <v>8939.3482429870146</v>
      </c>
      <c r="AF66" s="106">
        <f>AB66*3.99</f>
        <v>4388.5064603181827</v>
      </c>
      <c r="AG66" s="106">
        <f t="shared" si="37"/>
        <v>720093.93187499978</v>
      </c>
      <c r="AH66" s="106">
        <f t="shared" si="38"/>
        <v>14401.878637499996</v>
      </c>
      <c r="AI66" s="106">
        <f t="shared" si="39"/>
        <v>37630.83</v>
      </c>
    </row>
    <row r="67" spans="1:37">
      <c r="A67" s="60">
        <v>46113</v>
      </c>
      <c r="B67" s="101" cm="1">
        <f t="array" ref="B67">INDEX(Fluxo_Caixa_Mensal!$H$90:$S$90, ROW(B67)-ROW($B$64)+1)</f>
        <v>1000</v>
      </c>
      <c r="C67" s="101">
        <f t="shared" ref="C67:C77" si="42">C66*0.99</f>
        <v>13.721399999999999</v>
      </c>
      <c r="D67" s="105">
        <f t="shared" si="40"/>
        <v>72.878860757648638</v>
      </c>
      <c r="E67" s="103">
        <v>0.2</v>
      </c>
      <c r="F67" s="104">
        <f t="shared" si="24"/>
        <v>14.57577215152973</v>
      </c>
      <c r="G67" s="103">
        <v>0.5</v>
      </c>
      <c r="H67" s="104">
        <f t="shared" si="25"/>
        <v>7.2878860757648649</v>
      </c>
      <c r="I67" s="103">
        <v>0.3</v>
      </c>
      <c r="J67" s="105">
        <v>0</v>
      </c>
      <c r="K67" s="103">
        <v>0</v>
      </c>
      <c r="L67" s="105">
        <f t="shared" si="26"/>
        <v>2.1863658227294596</v>
      </c>
      <c r="M67" s="150">
        <f>L67/D67</f>
        <v>3.0000000000000006E-2</v>
      </c>
      <c r="N67" s="105">
        <f t="shared" ref="N67:N77" si="43">M6+M26+M46</f>
        <v>81.690867987231627</v>
      </c>
      <c r="O67" s="106">
        <f t="shared" si="41"/>
        <v>457.37999999999994</v>
      </c>
      <c r="P67" s="103">
        <f t="shared" si="28"/>
        <v>0.02</v>
      </c>
      <c r="Q67" s="104">
        <f t="shared" si="29"/>
        <v>1.5900900432900433</v>
      </c>
      <c r="R67" s="62">
        <f t="shared" si="29"/>
        <v>80.10077794394158</v>
      </c>
      <c r="S67" s="62">
        <f t="shared" si="30"/>
        <v>15</v>
      </c>
      <c r="T67" s="106">
        <f t="shared" si="31"/>
        <v>782.05749999999989</v>
      </c>
      <c r="U67" s="106">
        <f t="shared" si="32"/>
        <v>10393.877731844399</v>
      </c>
      <c r="V67" s="62">
        <f t="shared" si="33"/>
        <v>1281.6124471030653</v>
      </c>
      <c r="W67" s="15">
        <f t="shared" si="33"/>
        <v>785942.99470960209</v>
      </c>
      <c r="X67" s="15">
        <f t="shared" si="33"/>
        <v>15718.859894192041</v>
      </c>
      <c r="Y67" s="67">
        <f t="shared" si="34"/>
        <v>14.25</v>
      </c>
      <c r="Z67" s="103">
        <f t="shared" si="34"/>
        <v>5.000000000000001E-2</v>
      </c>
      <c r="AA67" s="106">
        <f t="shared" si="35"/>
        <v>9874.1838452521788</v>
      </c>
      <c r="AB67" s="105">
        <f t="shared" si="36"/>
        <v>1141.4360857011675</v>
      </c>
      <c r="AC67" s="106">
        <f t="shared" si="36"/>
        <v>746645.84497412201</v>
      </c>
      <c r="AD67" s="106">
        <f t="shared" si="36"/>
        <v>14932.916899482439</v>
      </c>
      <c r="AE67" s="106">
        <f>((((Q46+Q26)/R67))*R67)*189.9</f>
        <v>9414.1024189767832</v>
      </c>
      <c r="AF67" s="106">
        <f t="shared" ref="AF67:AF77" si="44">AB67*3.99</f>
        <v>4554.3299819476588</v>
      </c>
      <c r="AG67" s="106">
        <f t="shared" si="37"/>
        <v>1466739.7768491218</v>
      </c>
      <c r="AH67" s="106">
        <f t="shared" si="38"/>
        <v>29334.795536982434</v>
      </c>
      <c r="AI67" s="106">
        <f t="shared" si="39"/>
        <v>38630.83</v>
      </c>
    </row>
    <row r="68" spans="1:37">
      <c r="A68" s="78">
        <v>46143</v>
      </c>
      <c r="B68" s="101" cm="1">
        <f t="array" ref="B68">INDEX(Fluxo_Caixa_Mensal!$H$90:$S$90, ROW(B68)-ROW($B$64)+1)</f>
        <v>5000</v>
      </c>
      <c r="C68" s="101">
        <f t="shared" si="42"/>
        <v>13.584185999999999</v>
      </c>
      <c r="D68" s="105">
        <f t="shared" si="40"/>
        <v>368.07505433155882</v>
      </c>
      <c r="E68" s="103">
        <v>0.2</v>
      </c>
      <c r="F68" s="104">
        <f t="shared" si="24"/>
        <v>73.615010866311763</v>
      </c>
      <c r="G68" s="103">
        <v>0.6</v>
      </c>
      <c r="H68" s="104">
        <f t="shared" si="25"/>
        <v>44.169006519787061</v>
      </c>
      <c r="I68" s="103">
        <v>0.3</v>
      </c>
      <c r="J68" s="105">
        <v>0</v>
      </c>
      <c r="K68" s="103">
        <v>0</v>
      </c>
      <c r="L68" s="105">
        <f t="shared" si="26"/>
        <v>13.250701955936117</v>
      </c>
      <c r="M68" s="150">
        <f>L68/D68</f>
        <v>3.5999999999999997E-2</v>
      </c>
      <c r="N68" s="105">
        <f t="shared" si="43"/>
        <v>94.941569943167735</v>
      </c>
      <c r="O68" s="106">
        <f t="shared" si="41"/>
        <v>377.33850000000001</v>
      </c>
      <c r="P68" s="103">
        <f t="shared" si="28"/>
        <v>0.02</v>
      </c>
      <c r="Q68" s="104">
        <f t="shared" si="29"/>
        <v>1.6338173597446324</v>
      </c>
      <c r="R68" s="62">
        <f t="shared" si="29"/>
        <v>93.30775258342311</v>
      </c>
      <c r="S68" s="62">
        <f t="shared" si="30"/>
        <v>15</v>
      </c>
      <c r="T68" s="106">
        <f t="shared" si="31"/>
        <v>793.78836249999983</v>
      </c>
      <c r="U68" s="106">
        <f t="shared" si="32"/>
        <v>11673.042440453402</v>
      </c>
      <c r="V68" s="62">
        <f t="shared" si="33"/>
        <v>1492.9240413347698</v>
      </c>
      <c r="W68" s="15">
        <f t="shared" si="33"/>
        <v>845397.98189827253</v>
      </c>
      <c r="X68" s="15">
        <f t="shared" si="33"/>
        <v>16907.95963796545</v>
      </c>
      <c r="Y68" s="67">
        <f t="shared" si="34"/>
        <v>14.25</v>
      </c>
      <c r="Z68" s="103">
        <f t="shared" si="34"/>
        <v>5.000000000000001E-2</v>
      </c>
      <c r="AA68" s="106">
        <f t="shared" si="35"/>
        <v>11089.390318430733</v>
      </c>
      <c r="AB68" s="105">
        <f t="shared" si="36"/>
        <v>1329.635474313779</v>
      </c>
      <c r="AC68" s="106">
        <f t="shared" si="36"/>
        <v>803128.08280335891</v>
      </c>
      <c r="AD68" s="106">
        <f t="shared" si="36"/>
        <v>16062.561656067177</v>
      </c>
      <c r="AE68" s="106">
        <f t="shared" ref="AE67:AE77" si="45">((((Q47+Q27)/R68))*R68)*189.9</f>
        <v>11796.706678812447</v>
      </c>
      <c r="AF68" s="106">
        <f t="shared" si="44"/>
        <v>5305.2455425119788</v>
      </c>
      <c r="AG68" s="106">
        <f t="shared" si="37"/>
        <v>2269867.859652481</v>
      </c>
      <c r="AH68" s="106">
        <f t="shared" si="38"/>
        <v>45397.357193049611</v>
      </c>
      <c r="AI68" s="106">
        <f t="shared" si="39"/>
        <v>43630.83</v>
      </c>
    </row>
    <row r="69" spans="1:37">
      <c r="A69" s="60">
        <v>46174</v>
      </c>
      <c r="B69" s="101" cm="1">
        <f t="array" ref="B69">INDEX(Fluxo_Caixa_Mensal!$H$90:$S$90, ROW(B69)-ROW($B$64)+1)</f>
        <v>30000</v>
      </c>
      <c r="C69" s="101">
        <f t="shared" si="42"/>
        <v>13.44834414</v>
      </c>
      <c r="D69" s="102">
        <f t="shared" si="40"/>
        <v>2230.7579050397503</v>
      </c>
      <c r="E69" s="103">
        <v>0.4</v>
      </c>
      <c r="F69" s="104">
        <f t="shared" si="24"/>
        <v>669.22737151192507</v>
      </c>
      <c r="G69" s="103">
        <v>0.6</v>
      </c>
      <c r="H69" s="104">
        <f t="shared" si="25"/>
        <v>401.53642290715504</v>
      </c>
      <c r="I69" s="152">
        <v>0.3</v>
      </c>
      <c r="J69" s="105">
        <v>0</v>
      </c>
      <c r="K69" s="103">
        <v>0</v>
      </c>
      <c r="L69" s="105">
        <f t="shared" si="26"/>
        <v>120.46092687214652</v>
      </c>
      <c r="M69" s="150">
        <f>(L69)/(D69+J69)</f>
        <v>5.3999999999999999E-2</v>
      </c>
      <c r="N69" s="105">
        <f t="shared" si="43"/>
        <v>215.40249681531424</v>
      </c>
      <c r="O69" s="106">
        <f t="shared" si="41"/>
        <v>249.04340999999999</v>
      </c>
      <c r="P69" s="103">
        <f t="shared" si="28"/>
        <v>0.04</v>
      </c>
      <c r="Q69" s="104">
        <f t="shared" si="29"/>
        <v>3.7976627977267099</v>
      </c>
      <c r="R69" s="62">
        <f t="shared" si="29"/>
        <v>211.60483401758751</v>
      </c>
      <c r="S69" s="62">
        <f t="shared" si="30"/>
        <v>15</v>
      </c>
      <c r="T69" s="106">
        <f t="shared" si="31"/>
        <v>805.69518793749967</v>
      </c>
      <c r="U69" s="106">
        <f t="shared" si="32"/>
        <v>15778.885075902346</v>
      </c>
      <c r="V69" s="62">
        <f t="shared" si="33"/>
        <v>3385.6773442814001</v>
      </c>
      <c r="W69" s="15">
        <f t="shared" si="33"/>
        <v>1107385.8602479475</v>
      </c>
      <c r="X69" s="15">
        <f t="shared" si="33"/>
        <v>22147.71720495895</v>
      </c>
      <c r="Y69" s="67">
        <f t="shared" si="34"/>
        <v>14.25</v>
      </c>
      <c r="Z69" s="103">
        <f t="shared" si="34"/>
        <v>5.000000000000001E-2</v>
      </c>
      <c r="AA69" s="106">
        <f t="shared" si="35"/>
        <v>14989.940822107224</v>
      </c>
      <c r="AB69" s="105">
        <f t="shared" si="36"/>
        <v>3015.3688847506223</v>
      </c>
      <c r="AC69" s="106">
        <f t="shared" si="36"/>
        <v>1052016.5672355499</v>
      </c>
      <c r="AD69" s="106">
        <f t="shared" si="36"/>
        <v>21040.331344710998</v>
      </c>
      <c r="AE69" s="106">
        <f t="shared" si="45"/>
        <v>33240.876928942882</v>
      </c>
      <c r="AF69" s="106">
        <f t="shared" si="44"/>
        <v>12031.321850154984</v>
      </c>
      <c r="AG69" s="106">
        <f t="shared" si="37"/>
        <v>3321884.426888031</v>
      </c>
      <c r="AH69" s="106">
        <f t="shared" si="38"/>
        <v>66437.688537760609</v>
      </c>
      <c r="AI69" s="106">
        <f t="shared" si="39"/>
        <v>73630.83</v>
      </c>
    </row>
    <row r="70" spans="1:37">
      <c r="A70" s="78">
        <v>46204</v>
      </c>
      <c r="B70" s="101" cm="1">
        <f t="array" ref="B70">INDEX(Fluxo_Caixa_Mensal!$H$90:$S$90, ROW(B70)-ROW($B$64)+1)</f>
        <v>100000</v>
      </c>
      <c r="C70" s="101">
        <f t="shared" si="42"/>
        <v>13.313860698599999</v>
      </c>
      <c r="D70" s="105">
        <f t="shared" si="40"/>
        <v>7510.9693772382161</v>
      </c>
      <c r="E70" s="103">
        <v>0.3</v>
      </c>
      <c r="F70" s="104">
        <f t="shared" si="24"/>
        <v>2253.2908131714648</v>
      </c>
      <c r="G70" s="103">
        <v>0.6</v>
      </c>
      <c r="H70" s="104">
        <f t="shared" si="25"/>
        <v>1351.974487902879</v>
      </c>
      <c r="I70" s="103">
        <v>0.3</v>
      </c>
      <c r="J70" s="105">
        <v>0</v>
      </c>
      <c r="K70" s="103">
        <v>0.2</v>
      </c>
      <c r="L70" s="105">
        <f t="shared" si="26"/>
        <v>405.59234637086365</v>
      </c>
      <c r="M70" s="150">
        <f t="shared" ref="M70:M77" si="46">L70/D70</f>
        <v>5.3999999999999999E-2</v>
      </c>
      <c r="N70" s="105">
        <f t="shared" si="43"/>
        <v>620.99484318617783</v>
      </c>
      <c r="O70" s="106">
        <f t="shared" si="41"/>
        <v>246.55297590000001</v>
      </c>
      <c r="P70" s="103">
        <f t="shared" si="28"/>
        <v>0.02</v>
      </c>
      <c r="Q70" s="104">
        <f t="shared" si="29"/>
        <v>4.3080499363062845</v>
      </c>
      <c r="R70" s="62">
        <f t="shared" si="29"/>
        <v>616.68679324987158</v>
      </c>
      <c r="S70" s="62">
        <f t="shared" si="30"/>
        <v>15</v>
      </c>
      <c r="T70" s="106">
        <f t="shared" si="31"/>
        <v>817.78061575656193</v>
      </c>
      <c r="U70" s="106">
        <f t="shared" si="32"/>
        <v>18069.344470692558</v>
      </c>
      <c r="V70" s="62">
        <f t="shared" si="33"/>
        <v>9866.9886919979454</v>
      </c>
      <c r="W70" s="15">
        <f t="shared" si="33"/>
        <v>3404123.2492503878</v>
      </c>
      <c r="X70" s="15">
        <f t="shared" si="33"/>
        <v>68082.464985007755</v>
      </c>
      <c r="Y70" s="67">
        <f t="shared" si="34"/>
        <v>14.25</v>
      </c>
      <c r="Z70" s="103">
        <f t="shared" si="34"/>
        <v>5.000000000000001E-2</v>
      </c>
      <c r="AA70" s="106">
        <f t="shared" si="35"/>
        <v>17165.877247157932</v>
      </c>
      <c r="AB70" s="105">
        <f t="shared" si="36"/>
        <v>8787.7868038106699</v>
      </c>
      <c r="AC70" s="106">
        <f t="shared" si="36"/>
        <v>3233917.0867878683</v>
      </c>
      <c r="AD70" s="106">
        <f t="shared" si="36"/>
        <v>64678.341735757378</v>
      </c>
      <c r="AE70" s="106">
        <f t="shared" si="45"/>
        <v>106216.90251024309</v>
      </c>
      <c r="AF70" s="106">
        <f t="shared" si="44"/>
        <v>35063.269347204572</v>
      </c>
      <c r="AG70" s="106">
        <f t="shared" si="37"/>
        <v>6555801.5136758992</v>
      </c>
      <c r="AH70" s="106">
        <f t="shared" si="38"/>
        <v>131116.030273518</v>
      </c>
      <c r="AI70" s="106">
        <f t="shared" si="39"/>
        <v>173630.83</v>
      </c>
    </row>
    <row r="71" spans="1:37">
      <c r="A71" s="60">
        <v>46235</v>
      </c>
      <c r="B71" s="101" cm="1">
        <f t="array" ref="B71">INDEX(Fluxo_Caixa_Mensal!$H$90:$S$90, ROW(B71)-ROW($B$64)+1)</f>
        <v>100000</v>
      </c>
      <c r="C71" s="101">
        <f t="shared" si="42"/>
        <v>13.180722091613999</v>
      </c>
      <c r="D71" s="105">
        <f t="shared" si="40"/>
        <v>7586.8377547860764</v>
      </c>
      <c r="E71" s="103">
        <v>0.3</v>
      </c>
      <c r="F71" s="104">
        <f t="shared" si="24"/>
        <v>2276.0513264358228</v>
      </c>
      <c r="G71" s="103">
        <v>0.6</v>
      </c>
      <c r="H71" s="104">
        <f t="shared" si="25"/>
        <v>1365.6307958614937</v>
      </c>
      <c r="I71" s="103">
        <v>0.3</v>
      </c>
      <c r="J71" s="105">
        <v>0</v>
      </c>
      <c r="K71" s="103">
        <v>0</v>
      </c>
      <c r="L71" s="105">
        <f t="shared" si="26"/>
        <v>409.68923875844808</v>
      </c>
      <c r="M71" s="150">
        <f t="shared" si="46"/>
        <v>5.3999999999999992E-2</v>
      </c>
      <c r="N71" s="105">
        <f t="shared" si="43"/>
        <v>1030.6840819446261</v>
      </c>
      <c r="O71" s="106">
        <f t="shared" si="41"/>
        <v>244.08744614100002</v>
      </c>
      <c r="P71" s="103">
        <f t="shared" si="28"/>
        <v>0.02</v>
      </c>
      <c r="Q71" s="104">
        <f t="shared" si="29"/>
        <v>12.419896863723558</v>
      </c>
      <c r="R71" s="62">
        <f t="shared" si="29"/>
        <v>1018.2641850809024</v>
      </c>
      <c r="S71" s="62">
        <f t="shared" si="30"/>
        <v>15</v>
      </c>
      <c r="T71" s="106">
        <f t="shared" si="31"/>
        <v>830.04732499291038</v>
      </c>
      <c r="U71" s="106">
        <f t="shared" si="32"/>
        <v>18780.441817899326</v>
      </c>
      <c r="V71" s="62">
        <f t="shared" si="33"/>
        <v>16292.226961294438</v>
      </c>
      <c r="W71" s="15">
        <f t="shared" si="33"/>
        <v>11319253.475853372</v>
      </c>
      <c r="X71" s="15">
        <f t="shared" si="33"/>
        <v>226385.06951706746</v>
      </c>
      <c r="Y71" s="67">
        <f t="shared" si="34"/>
        <v>14.25</v>
      </c>
      <c r="Z71" s="103">
        <f t="shared" si="34"/>
        <v>5.000000000000001E-2</v>
      </c>
      <c r="AA71" s="106">
        <f t="shared" si="35"/>
        <v>17841.419727004362</v>
      </c>
      <c r="AB71" s="105">
        <f t="shared" si="36"/>
        <v>14510.264637402859</v>
      </c>
      <c r="AC71" s="106">
        <f t="shared" si="36"/>
        <v>10753290.802060703</v>
      </c>
      <c r="AD71" s="106">
        <f t="shared" si="36"/>
        <v>215065.81604121407</v>
      </c>
      <c r="AE71" s="106">
        <f t="shared" si="45"/>
        <v>178663.47188352019</v>
      </c>
      <c r="AF71" s="106">
        <f t="shared" si="44"/>
        <v>57895.955903237409</v>
      </c>
      <c r="AG71" s="106">
        <f t="shared" si="37"/>
        <v>17309092.315736599</v>
      </c>
      <c r="AH71" s="106">
        <f t="shared" si="38"/>
        <v>346181.84631473204</v>
      </c>
      <c r="AI71" s="106">
        <f t="shared" si="39"/>
        <v>273630.82999999996</v>
      </c>
    </row>
    <row r="72" spans="1:37">
      <c r="A72" s="78">
        <v>46266</v>
      </c>
      <c r="B72" s="101" cm="1">
        <f t="array" ref="B72">INDEX(Fluxo_Caixa_Mensal!$H$90:$S$90, ROW(B72)-ROW($B$64)+1)</f>
        <v>100000</v>
      </c>
      <c r="C72" s="101">
        <f t="shared" si="42"/>
        <v>13.048914870697859</v>
      </c>
      <c r="D72" s="105">
        <f t="shared" si="40"/>
        <v>7663.4724795818966</v>
      </c>
      <c r="E72" s="103">
        <v>0.3</v>
      </c>
      <c r="F72" s="104">
        <f t="shared" si="24"/>
        <v>2299.041743874569</v>
      </c>
      <c r="G72" s="103">
        <v>0.6</v>
      </c>
      <c r="H72" s="104">
        <f t="shared" si="25"/>
        <v>1379.4250463247413</v>
      </c>
      <c r="I72" s="103">
        <v>0.3</v>
      </c>
      <c r="J72" s="105">
        <v>0</v>
      </c>
      <c r="K72" s="103">
        <v>0</v>
      </c>
      <c r="L72" s="105">
        <f t="shared" si="26"/>
        <v>413.82751389742236</v>
      </c>
      <c r="M72" s="150">
        <f t="shared" si="46"/>
        <v>5.3999999999999992E-2</v>
      </c>
      <c r="N72" s="105">
        <f t="shared" si="43"/>
        <v>1444.5115958420483</v>
      </c>
      <c r="O72" s="106">
        <f t="shared" si="41"/>
        <v>241.64657167959001</v>
      </c>
      <c r="P72" s="103">
        <f t="shared" si="28"/>
        <v>0.02</v>
      </c>
      <c r="Q72" s="104">
        <f t="shared" si="29"/>
        <v>20.613681638892523</v>
      </c>
      <c r="R72" s="62">
        <f t="shared" si="29"/>
        <v>1423.8979142031558</v>
      </c>
      <c r="S72" s="62">
        <f t="shared" si="30"/>
        <v>15</v>
      </c>
      <c r="T72" s="106">
        <f t="shared" si="31"/>
        <v>842.49803486780399</v>
      </c>
      <c r="U72" s="106">
        <f t="shared" si="32"/>
        <v>19256.106098237342</v>
      </c>
      <c r="V72" s="62">
        <f t="shared" si="33"/>
        <v>22782.366627250492</v>
      </c>
      <c r="W72" s="15">
        <f t="shared" si="33"/>
        <v>19415850.499173429</v>
      </c>
      <c r="X72" s="15">
        <f t="shared" si="33"/>
        <v>388317.00998346857</v>
      </c>
      <c r="Y72" s="67">
        <f t="shared" si="34"/>
        <v>14.25</v>
      </c>
      <c r="Z72" s="103">
        <f t="shared" si="34"/>
        <v>5.000000000000001E-2</v>
      </c>
      <c r="AA72" s="106">
        <f t="shared" si="35"/>
        <v>18293.300793325474</v>
      </c>
      <c r="AB72" s="105">
        <f t="shared" si="36"/>
        <v>20290.545277394973</v>
      </c>
      <c r="AC72" s="106">
        <f t="shared" si="36"/>
        <v>18445057.974214759</v>
      </c>
      <c r="AD72" s="106">
        <f t="shared" si="36"/>
        <v>368901.15948429512</v>
      </c>
      <c r="AE72" s="106">
        <f t="shared" si="45"/>
        <v>251841.82478582032</v>
      </c>
      <c r="AF72" s="106">
        <f t="shared" si="44"/>
        <v>80959.275656805941</v>
      </c>
      <c r="AG72" s="106">
        <f t="shared" si="37"/>
        <v>35754150.289951354</v>
      </c>
      <c r="AH72" s="106">
        <f t="shared" si="38"/>
        <v>715083.00579902716</v>
      </c>
      <c r="AI72" s="106">
        <f t="shared" si="39"/>
        <v>373630.82999999996</v>
      </c>
    </row>
    <row r="73" spans="1:37">
      <c r="A73" s="60">
        <v>46296</v>
      </c>
      <c r="B73" s="101" cm="1">
        <f t="array" ref="B73">INDEX(Fluxo_Caixa_Mensal!$H$90:$S$90, ROW(B73)-ROW($B$64)+1)</f>
        <v>100000</v>
      </c>
      <c r="C73" s="101">
        <f t="shared" si="42"/>
        <v>12.91842572199088</v>
      </c>
      <c r="D73" s="105">
        <f t="shared" si="40"/>
        <v>7740.881292506966</v>
      </c>
      <c r="E73" s="103">
        <v>0.3</v>
      </c>
      <c r="F73" s="104">
        <f t="shared" si="24"/>
        <v>2322.2643877520895</v>
      </c>
      <c r="G73" s="103">
        <v>0.6</v>
      </c>
      <c r="H73" s="104">
        <f t="shared" si="25"/>
        <v>1393.3586326512536</v>
      </c>
      <c r="I73" s="103">
        <v>0.3</v>
      </c>
      <c r="J73" s="105">
        <v>0</v>
      </c>
      <c r="K73" s="103">
        <v>0</v>
      </c>
      <c r="L73" s="105">
        <f t="shared" si="26"/>
        <v>418.00758979537613</v>
      </c>
      <c r="M73" s="150">
        <f t="shared" si="46"/>
        <v>5.3999999999999999E-2</v>
      </c>
      <c r="N73" s="105">
        <f t="shared" si="43"/>
        <v>1862.5191856374245</v>
      </c>
      <c r="O73" s="106">
        <f t="shared" si="41"/>
        <v>239.23010596279414</v>
      </c>
      <c r="P73" s="103">
        <f t="shared" si="28"/>
        <v>0.03</v>
      </c>
      <c r="Q73" s="104">
        <f t="shared" si="29"/>
        <v>43.335347875261448</v>
      </c>
      <c r="R73" s="62">
        <f t="shared" si="29"/>
        <v>1819.183837762163</v>
      </c>
      <c r="S73" s="62">
        <f t="shared" si="30"/>
        <v>15</v>
      </c>
      <c r="T73" s="106">
        <f t="shared" si="31"/>
        <v>855.13550539082098</v>
      </c>
      <c r="U73" s="106">
        <f t="shared" si="32"/>
        <v>19654.990730286063</v>
      </c>
      <c r="V73" s="62">
        <f t="shared" si="33"/>
        <v>29106.941404194607</v>
      </c>
      <c r="W73" s="15">
        <f t="shared" si="33"/>
        <v>27834068.402620617</v>
      </c>
      <c r="X73" s="15">
        <f t="shared" si="33"/>
        <v>556681.36805241241</v>
      </c>
      <c r="Y73" s="67">
        <f t="shared" si="34"/>
        <v>14.25</v>
      </c>
      <c r="Z73" s="103">
        <f t="shared" si="34"/>
        <v>5.000000000000001E-2</v>
      </c>
      <c r="AA73" s="106">
        <f t="shared" si="35"/>
        <v>18672.241193771759</v>
      </c>
      <c r="AB73" s="105">
        <f t="shared" si="36"/>
        <v>25923.369688110826</v>
      </c>
      <c r="AC73" s="106">
        <f t="shared" si="36"/>
        <v>26442364.982489586</v>
      </c>
      <c r="AD73" s="106">
        <f t="shared" si="36"/>
        <v>528847.29964979179</v>
      </c>
      <c r="AE73" s="106">
        <f t="shared" si="45"/>
        <v>323204.77446248307</v>
      </c>
      <c r="AF73" s="106">
        <f t="shared" si="44"/>
        <v>103434.24505556221</v>
      </c>
      <c r="AG73" s="106">
        <f t="shared" si="37"/>
        <v>62196515.272440948</v>
      </c>
      <c r="AH73" s="106">
        <f t="shared" si="38"/>
        <v>1243930.305448819</v>
      </c>
      <c r="AI73" s="106">
        <f t="shared" si="39"/>
        <v>473630.82999999996</v>
      </c>
    </row>
    <row r="74" spans="1:37">
      <c r="A74" s="78">
        <v>46327</v>
      </c>
      <c r="B74" s="101" cm="1">
        <f t="array" ref="B74">INDEX(Fluxo_Caixa_Mensal!$H$90:$S$90, ROW(B74)-ROW($B$64)+1)</f>
        <v>100000</v>
      </c>
      <c r="C74" s="101">
        <f t="shared" si="42"/>
        <v>12.789241464770971</v>
      </c>
      <c r="D74" s="105">
        <f t="shared" si="40"/>
        <v>7819.0720126332999</v>
      </c>
      <c r="E74" s="103">
        <v>0.3</v>
      </c>
      <c r="F74" s="104">
        <f t="shared" si="24"/>
        <v>2345.7216037899898</v>
      </c>
      <c r="G74" s="103">
        <v>0.6</v>
      </c>
      <c r="H74" s="104">
        <f t="shared" si="25"/>
        <v>1407.4329622739938</v>
      </c>
      <c r="I74" s="103">
        <v>0.3</v>
      </c>
      <c r="J74" s="105">
        <v>0</v>
      </c>
      <c r="K74" s="103">
        <v>0</v>
      </c>
      <c r="L74" s="105">
        <f t="shared" si="26"/>
        <v>422.22988868219818</v>
      </c>
      <c r="M74" s="150">
        <f t="shared" si="46"/>
        <v>5.3999999999999999E-2</v>
      </c>
      <c r="N74" s="105">
        <f t="shared" si="43"/>
        <v>2284.7490743196227</v>
      </c>
      <c r="O74" s="106">
        <f t="shared" si="41"/>
        <v>236.83780490316613</v>
      </c>
      <c r="P74" s="103">
        <f t="shared" si="28"/>
        <v>0.02</v>
      </c>
      <c r="Q74" s="104">
        <f t="shared" si="29"/>
        <v>37.250383712748487</v>
      </c>
      <c r="R74" s="62">
        <f t="shared" si="29"/>
        <v>2247.4986906068743</v>
      </c>
      <c r="S74" s="62">
        <f t="shared" si="30"/>
        <v>15</v>
      </c>
      <c r="T74" s="106">
        <f t="shared" si="31"/>
        <v>867.9625379716831</v>
      </c>
      <c r="U74" s="106">
        <f t="shared" si="32"/>
        <v>20021.146203520893</v>
      </c>
      <c r="V74" s="62">
        <f t="shared" si="33"/>
        <v>35959.979049709989</v>
      </c>
      <c r="W74" s="15">
        <f t="shared" si="33"/>
        <v>36297222.374666303</v>
      </c>
      <c r="X74" s="15">
        <f t="shared" si="33"/>
        <v>725944.44749332604</v>
      </c>
      <c r="Y74" s="67">
        <f t="shared" si="34"/>
        <v>14.25</v>
      </c>
      <c r="Z74" s="103">
        <f t="shared" si="34"/>
        <v>5.000000000000001E-2</v>
      </c>
      <c r="AA74" s="106">
        <f t="shared" si="35"/>
        <v>19020.088893344848</v>
      </c>
      <c r="AB74" s="105">
        <f t="shared" si="36"/>
        <v>32026.856341147959</v>
      </c>
      <c r="AC74" s="106">
        <f t="shared" si="36"/>
        <v>34482361.255932987</v>
      </c>
      <c r="AD74" s="106">
        <f t="shared" si="36"/>
        <v>689647.22511865979</v>
      </c>
      <c r="AE74" s="106">
        <f t="shared" si="45"/>
        <v>400423.52285293315</v>
      </c>
      <c r="AF74" s="106">
        <f t="shared" si="44"/>
        <v>127787.15680118036</v>
      </c>
      <c r="AG74" s="106">
        <f t="shared" si="37"/>
        <v>96678876.528373942</v>
      </c>
      <c r="AH74" s="106">
        <f t="shared" si="38"/>
        <v>1933577.5305674789</v>
      </c>
      <c r="AI74" s="106">
        <f t="shared" si="39"/>
        <v>573630.82999999996</v>
      </c>
    </row>
    <row r="75" spans="1:37">
      <c r="A75" s="60">
        <v>46357</v>
      </c>
      <c r="B75" s="101" cm="1">
        <f t="array" ref="B75">INDEX(Fluxo_Caixa_Mensal!$H$90:$S$90, ROW(B75)-ROW($B$64)+1)</f>
        <v>100000</v>
      </c>
      <c r="C75" s="101">
        <f t="shared" si="42"/>
        <v>12.661349050123262</v>
      </c>
      <c r="D75" s="105">
        <f t="shared" si="40"/>
        <v>7898.0525380134341</v>
      </c>
      <c r="E75" s="103">
        <v>0.3</v>
      </c>
      <c r="F75" s="104">
        <f t="shared" si="24"/>
        <v>2369.41576140403</v>
      </c>
      <c r="G75" s="103">
        <v>0.6</v>
      </c>
      <c r="H75" s="104">
        <f t="shared" si="25"/>
        <v>1421.6494568424182</v>
      </c>
      <c r="I75" s="103">
        <v>0.3</v>
      </c>
      <c r="J75" s="105">
        <v>0</v>
      </c>
      <c r="K75" s="103">
        <v>0</v>
      </c>
      <c r="L75" s="105">
        <f t="shared" si="26"/>
        <v>426.49483705272542</v>
      </c>
      <c r="M75" s="150">
        <f t="shared" si="46"/>
        <v>5.3999999999999999E-2</v>
      </c>
      <c r="N75" s="105">
        <f t="shared" si="43"/>
        <v>2711.2439113723481</v>
      </c>
      <c r="O75" s="106">
        <f t="shared" si="41"/>
        <v>234.46942685413447</v>
      </c>
      <c r="P75" s="103">
        <f t="shared" si="28"/>
        <v>0.03</v>
      </c>
      <c r="Q75" s="104">
        <f t="shared" si="29"/>
        <v>68.542472229588682</v>
      </c>
      <c r="R75" s="62">
        <f t="shared" si="29"/>
        <v>2642.7014391427592</v>
      </c>
      <c r="S75" s="62">
        <f t="shared" si="30"/>
        <v>15</v>
      </c>
      <c r="T75" s="106">
        <f t="shared" si="31"/>
        <v>880.98197604125835</v>
      </c>
      <c r="U75" s="106">
        <f t="shared" si="32"/>
        <v>20371.702162743652</v>
      </c>
      <c r="V75" s="62">
        <f t="shared" si="33"/>
        <v>42283.223026284148</v>
      </c>
      <c r="W75" s="15">
        <f t="shared" si="33"/>
        <v>45675159.324083</v>
      </c>
      <c r="X75" s="15">
        <f t="shared" si="33"/>
        <v>913503.18648166012</v>
      </c>
      <c r="Y75" s="67">
        <f t="shared" si="34"/>
        <v>14.25</v>
      </c>
      <c r="Z75" s="103">
        <f t="shared" si="34"/>
        <v>5.000000000000001E-2</v>
      </c>
      <c r="AA75" s="106">
        <f t="shared" si="35"/>
        <v>19353.117054606471</v>
      </c>
      <c r="AB75" s="105">
        <f t="shared" si="36"/>
        <v>37658.495507784319</v>
      </c>
      <c r="AC75" s="106">
        <f t="shared" si="36"/>
        <v>43391401.357878864</v>
      </c>
      <c r="AD75" s="106">
        <f t="shared" si="36"/>
        <v>867828.02715757722</v>
      </c>
      <c r="AE75" s="106">
        <f t="shared" si="45"/>
        <v>471771.46733954956</v>
      </c>
      <c r="AF75" s="106">
        <f t="shared" si="44"/>
        <v>150257.39707605945</v>
      </c>
      <c r="AG75" s="106">
        <f t="shared" si="37"/>
        <v>140070277.88625282</v>
      </c>
      <c r="AH75" s="106">
        <f t="shared" si="38"/>
        <v>2801405.5577250561</v>
      </c>
      <c r="AI75" s="106">
        <f t="shared" si="39"/>
        <v>673630.83</v>
      </c>
    </row>
    <row r="76" spans="1:37">
      <c r="A76" s="78">
        <v>46388</v>
      </c>
      <c r="B76" s="101">
        <v>100000</v>
      </c>
      <c r="C76" s="101">
        <f t="shared" si="42"/>
        <v>12.534735559622028</v>
      </c>
      <c r="D76" s="105">
        <f t="shared" si="40"/>
        <v>7977.8308464782167</v>
      </c>
      <c r="E76" s="103">
        <v>0.3</v>
      </c>
      <c r="F76" s="104">
        <f t="shared" si="24"/>
        <v>2393.3492539434646</v>
      </c>
      <c r="G76" s="103">
        <v>0.6</v>
      </c>
      <c r="H76" s="104">
        <f t="shared" si="25"/>
        <v>1436.0095523660789</v>
      </c>
      <c r="I76" s="103">
        <v>0.3</v>
      </c>
      <c r="J76" s="105">
        <v>0</v>
      </c>
      <c r="K76" s="103">
        <v>0</v>
      </c>
      <c r="L76" s="105">
        <f t="shared" si="26"/>
        <v>430.80286570982366</v>
      </c>
      <c r="M76" s="150">
        <f t="shared" si="46"/>
        <v>5.3999999999999992E-2</v>
      </c>
      <c r="N76" s="105">
        <f t="shared" si="43"/>
        <v>3142.0467770821715</v>
      </c>
      <c r="O76" s="106">
        <f t="shared" si="41"/>
        <v>232.12473258559314</v>
      </c>
      <c r="P76" s="103">
        <f t="shared" si="28"/>
        <v>0.03</v>
      </c>
      <c r="Q76" s="104">
        <f t="shared" si="29"/>
        <v>81.337317341170433</v>
      </c>
      <c r="R76" s="62">
        <f t="shared" si="29"/>
        <v>3060.7094597410014</v>
      </c>
      <c r="S76" s="62">
        <f t="shared" si="30"/>
        <v>15</v>
      </c>
      <c r="T76" s="106">
        <f t="shared" si="31"/>
        <v>894.19670568187701</v>
      </c>
      <c r="U76" s="106">
        <f t="shared" si="32"/>
        <v>20714.731477006986</v>
      </c>
      <c r="V76" s="62">
        <f t="shared" si="33"/>
        <v>48971.351355856023</v>
      </c>
      <c r="W76" s="15">
        <f t="shared" si="33"/>
        <v>54647366.664192937</v>
      </c>
      <c r="X76" s="15">
        <f t="shared" si="33"/>
        <v>1092947.3332838588</v>
      </c>
      <c r="Y76" s="67">
        <f t="shared" si="34"/>
        <v>14.25</v>
      </c>
      <c r="Z76" s="103">
        <f t="shared" si="34"/>
        <v>5.000000000000001E-2</v>
      </c>
      <c r="AA76" s="106">
        <f t="shared" si="35"/>
        <v>19678.994903156636</v>
      </c>
      <c r="AB76" s="105">
        <f t="shared" si="36"/>
        <v>43615.109801309271</v>
      </c>
      <c r="AC76" s="106">
        <f t="shared" si="36"/>
        <v>51914998.330983289</v>
      </c>
      <c r="AD76" s="106">
        <f t="shared" si="36"/>
        <v>1038299.9666196659</v>
      </c>
      <c r="AE76" s="106">
        <f t="shared" si="45"/>
        <v>547182.20429557539</v>
      </c>
      <c r="AF76" s="106">
        <f t="shared" si="44"/>
        <v>174024.28810722401</v>
      </c>
      <c r="AG76" s="106">
        <f t="shared" si="37"/>
        <v>191985276.2172361</v>
      </c>
      <c r="AH76" s="106">
        <f t="shared" si="38"/>
        <v>3839705.5243447218</v>
      </c>
      <c r="AI76" s="106">
        <f t="shared" si="39"/>
        <v>773630.83</v>
      </c>
    </row>
    <row r="77" spans="1:37">
      <c r="A77" s="60">
        <v>46419</v>
      </c>
      <c r="B77" s="101">
        <v>100000</v>
      </c>
      <c r="C77" s="101">
        <f t="shared" si="42"/>
        <v>12.409388204025808</v>
      </c>
      <c r="D77" s="105">
        <f t="shared" si="40"/>
        <v>8058.4149964426424</v>
      </c>
      <c r="E77" s="103">
        <v>0.3</v>
      </c>
      <c r="F77" s="104">
        <f t="shared" si="24"/>
        <v>2417.5244989327925</v>
      </c>
      <c r="G77" s="103">
        <v>0.6</v>
      </c>
      <c r="H77" s="104">
        <f t="shared" si="25"/>
        <v>1450.5146993596754</v>
      </c>
      <c r="I77" s="103">
        <v>0.3</v>
      </c>
      <c r="J77" s="105">
        <v>0</v>
      </c>
      <c r="K77" s="103">
        <v>0</v>
      </c>
      <c r="L77" s="105">
        <f t="shared" si="26"/>
        <v>435.1544098079026</v>
      </c>
      <c r="M77" s="150">
        <f t="shared" si="46"/>
        <v>5.3999999999999986E-2</v>
      </c>
      <c r="N77" s="105">
        <f t="shared" si="43"/>
        <v>3577.2011868900745</v>
      </c>
      <c r="O77" s="106">
        <f t="shared" si="41"/>
        <v>229.80348525973724</v>
      </c>
      <c r="P77" s="103">
        <f t="shared" si="28"/>
        <v>0.06</v>
      </c>
      <c r="Q77" s="104">
        <f t="shared" si="29"/>
        <v>188.5228066249303</v>
      </c>
      <c r="R77" s="62">
        <f t="shared" si="29"/>
        <v>3388.6783802651444</v>
      </c>
      <c r="S77" s="62">
        <f t="shared" si="30"/>
        <v>15</v>
      </c>
      <c r="T77" s="106">
        <f t="shared" si="31"/>
        <v>907.60965626710515</v>
      </c>
      <c r="U77" s="106">
        <f t="shared" si="32"/>
        <v>21054.556386555239</v>
      </c>
      <c r="V77" s="62">
        <f t="shared" si="33"/>
        <v>54218.85408424231</v>
      </c>
      <c r="W77" s="15">
        <f t="shared" si="33"/>
        <v>64355893.292474777</v>
      </c>
      <c r="X77" s="15">
        <f t="shared" si="33"/>
        <v>1287117.8658494956</v>
      </c>
      <c r="Y77" s="67">
        <f t="shared" si="34"/>
        <v>14.25</v>
      </c>
      <c r="Z77" s="103">
        <f t="shared" si="34"/>
        <v>5.000000000000001E-2</v>
      </c>
      <c r="AA77" s="106">
        <f t="shared" si="35"/>
        <v>20001.828567227483</v>
      </c>
      <c r="AB77" s="105">
        <f t="shared" si="36"/>
        <v>48288.666918778312</v>
      </c>
      <c r="AC77" s="106">
        <f t="shared" si="36"/>
        <v>61138098.627851032</v>
      </c>
      <c r="AD77" s="106">
        <f t="shared" si="36"/>
        <v>1222761.9725570208</v>
      </c>
      <c r="AE77" s="106">
        <f t="shared" si="45"/>
        <v>606503.61531373346</v>
      </c>
      <c r="AF77" s="106">
        <f t="shared" si="44"/>
        <v>192671.78100592547</v>
      </c>
      <c r="AG77" s="106">
        <f t="shared" si="37"/>
        <v>253123374.84508714</v>
      </c>
      <c r="AH77" s="106">
        <f t="shared" si="38"/>
        <v>5062467.4969017431</v>
      </c>
      <c r="AI77" s="106">
        <f t="shared" si="39"/>
        <v>873630.83</v>
      </c>
    </row>
    <row r="78" spans="1:37" s="86" customFormat="1">
      <c r="A78" s="107"/>
      <c r="B78" s="108">
        <f>SUBTOTAL(109,B64:B77)</f>
        <v>873630.83000000007</v>
      </c>
      <c r="C78" s="108">
        <f>SUBTOTAL(101,C64:C77)</f>
        <v>13.105040557246058</v>
      </c>
      <c r="D78" s="109">
        <f>SUBTOTAL(109,D64:D77)</f>
        <v>69422.393189959781</v>
      </c>
      <c r="E78" s="110">
        <f>AVERAGE(E64:E77)</f>
        <v>0.2614285714285714</v>
      </c>
      <c r="F78" s="111"/>
      <c r="G78" s="110">
        <f>AVERAGE(G64:G77)</f>
        <v>0.53571428571428559</v>
      </c>
      <c r="H78" s="111"/>
      <c r="I78" s="110">
        <f>AVERAGE(I64:I77)</f>
        <v>0.32857142857142846</v>
      </c>
      <c r="J78" s="110"/>
      <c r="K78" s="110"/>
      <c r="L78" s="112">
        <f>SUBTOTAL(109,L64:L77)</f>
        <v>3577.201186890074</v>
      </c>
      <c r="M78" s="151">
        <f>AVERAGE(M64:M77)</f>
        <v>4.3714285714285712E-2</v>
      </c>
      <c r="N78" s="112">
        <f>AVERAGE(N64:N77)</f>
        <v>1230.2021495131935</v>
      </c>
      <c r="O78" s="108">
        <f>SUBTOTAL(101,O64:O77)</f>
        <v>253.79247851697809</v>
      </c>
      <c r="P78" s="114">
        <f>AVERAGE(P64:P77)</f>
        <v>2.571428571428571E-2</v>
      </c>
      <c r="Q78" s="112">
        <f>SUBTOTAL(109,Q64:Q77)</f>
        <v>465.67172642338312</v>
      </c>
      <c r="R78" s="112">
        <f>R77</f>
        <v>3388.6783802651444</v>
      </c>
      <c r="S78" s="112"/>
      <c r="T78" s="115"/>
      <c r="U78" s="108">
        <f>SUBTOTAL(101,U64:U77)</f>
        <v>16580.484953902193</v>
      </c>
      <c r="V78" s="112"/>
      <c r="W78" s="115">
        <f>SUBTOTAL(109,W64:W77)</f>
        <v>266445657.73167065</v>
      </c>
      <c r="X78" s="115">
        <f>SUBTOTAL(109,X64:X77)</f>
        <v>5328913.1546334131</v>
      </c>
      <c r="Y78" s="112"/>
      <c r="Z78" s="113">
        <f>AVERAGE(Z64:Z77)</f>
        <v>0.11785714285714288</v>
      </c>
      <c r="AA78" s="115">
        <f>AVERAGE(AA64:AA77)</f>
        <v>15263.858883088385</v>
      </c>
      <c r="AB78" s="116"/>
      <c r="AC78" s="108">
        <f>SUBTOTAL(109,AC64:AC77)</f>
        <v>253123374.84508711</v>
      </c>
      <c r="AD78" s="108">
        <f>SUBTOTAL(109,AD64:AD77)</f>
        <v>5062467.4969017431</v>
      </c>
      <c r="AE78" s="108">
        <f>SUBTOTAL(109,AE64:AE77)</f>
        <v>2949198.8177135778</v>
      </c>
      <c r="AF78" s="108">
        <f>SUBTOTAL(109,AF64:AF77)</f>
        <v>948372.77278813231</v>
      </c>
      <c r="AG78" s="108">
        <f>SUBTOTAL(109,AG64:AG77)</f>
        <v>811451950.86401951</v>
      </c>
      <c r="AH78" s="117"/>
      <c r="AI78" s="117"/>
      <c r="AJ78" s="117"/>
      <c r="AK78" s="118"/>
    </row>
    <row r="79" spans="1:37">
      <c r="A79" s="60"/>
      <c r="B79" s="119"/>
      <c r="C79" s="119"/>
      <c r="D79" s="119"/>
      <c r="E79" s="119"/>
      <c r="F79" s="119"/>
      <c r="G79" s="119"/>
      <c r="H79" s="119"/>
      <c r="I79" s="119"/>
      <c r="J79" s="120"/>
      <c r="K79" s="121"/>
      <c r="L79" s="119"/>
      <c r="M79" s="119"/>
      <c r="N79" s="119"/>
      <c r="O79" s="119"/>
      <c r="P79" s="119"/>
      <c r="Q79" s="119"/>
      <c r="R79" s="119"/>
      <c r="S79" s="119"/>
      <c r="T79" s="120"/>
      <c r="U79" s="119"/>
      <c r="V79" s="120"/>
      <c r="W79" s="120"/>
      <c r="X79" s="120"/>
      <c r="Y79" s="122"/>
      <c r="Z79" s="119"/>
      <c r="AA79" s="119"/>
      <c r="AB79" s="123"/>
      <c r="AC79" s="119"/>
      <c r="AD79" s="119"/>
      <c r="AE79" s="119"/>
      <c r="AF79" s="119"/>
      <c r="AG79" s="119"/>
      <c r="AH79" s="119"/>
      <c r="AI79" s="119"/>
      <c r="AJ79" s="124"/>
    </row>
    <row r="80" spans="1:37">
      <c r="A80" s="78"/>
      <c r="B80" s="125"/>
      <c r="C80" s="126" t="s">
        <v>253</v>
      </c>
      <c r="D80" s="127">
        <f>D78/130000</f>
        <v>0.53401840915353682</v>
      </c>
      <c r="E80" s="126"/>
      <c r="F80" s="126"/>
      <c r="G80" s="126"/>
      <c r="H80" s="126"/>
      <c r="I80" s="126"/>
      <c r="J80" s="127"/>
      <c r="K80" s="128"/>
      <c r="L80" s="127"/>
      <c r="M80" s="127"/>
      <c r="N80" s="125"/>
      <c r="O80" s="125"/>
      <c r="P80" s="125"/>
      <c r="Q80" s="126" t="s">
        <v>253</v>
      </c>
      <c r="R80" s="127">
        <f>R78/130000</f>
        <v>2.6066756771270343E-2</v>
      </c>
      <c r="S80" s="125"/>
      <c r="T80" s="129"/>
      <c r="U80" s="125"/>
      <c r="V80" s="129"/>
      <c r="W80" s="129"/>
      <c r="X80" s="129"/>
      <c r="Y80" s="116"/>
      <c r="Z80" s="125"/>
      <c r="AA80" s="125"/>
      <c r="AB80" s="116"/>
      <c r="AC80" s="130"/>
      <c r="AD80" s="126"/>
      <c r="AE80" s="125"/>
      <c r="AF80" s="125"/>
      <c r="AG80" s="129"/>
      <c r="AH80" s="125"/>
      <c r="AI80" s="125"/>
      <c r="AJ80" s="131"/>
    </row>
    <row r="84" spans="4:28">
      <c r="AA84" s="15"/>
    </row>
    <row r="85" spans="4:28">
      <c r="L85" s="44"/>
      <c r="T85">
        <f>R66*62%</f>
        <v>47.854267341991346</v>
      </c>
    </row>
    <row r="86" spans="4:28">
      <c r="T86">
        <f>T85*189.9</f>
        <v>9087.5253682441562</v>
      </c>
      <c r="AA86" s="15"/>
      <c r="AB86" s="15"/>
    </row>
    <row r="88" spans="4:28">
      <c r="D88" s="132">
        <v>2578</v>
      </c>
      <c r="E88" s="62">
        <f>D88*F88</f>
        <v>515.6</v>
      </c>
      <c r="F88" s="88">
        <v>0.2</v>
      </c>
    </row>
    <row r="89" spans="4:28">
      <c r="D89" s="132">
        <v>2578</v>
      </c>
      <c r="E89" s="62">
        <f t="shared" ref="E89:E90" si="47">D89*F89</f>
        <v>1031.2</v>
      </c>
      <c r="F89" s="88">
        <v>0.4</v>
      </c>
      <c r="G89" s="44">
        <f>57/1429</f>
        <v>3.9888033589923023E-2</v>
      </c>
    </row>
    <row r="90" spans="4:28">
      <c r="D90" s="132">
        <v>2578</v>
      </c>
      <c r="E90" s="62">
        <f t="shared" si="47"/>
        <v>1031.2</v>
      </c>
      <c r="F90" s="88">
        <v>0.4</v>
      </c>
    </row>
    <row r="91" spans="4:28">
      <c r="Z91" s="62">
        <f>Q55+Q35</f>
        <v>2881.4228767539516</v>
      </c>
    </row>
    <row r="92" spans="4:28">
      <c r="Z92" s="62">
        <f>Q15</f>
        <v>179.28658298705005</v>
      </c>
    </row>
    <row r="93" spans="4:28">
      <c r="Z93" s="146"/>
    </row>
    <row r="100" spans="18:18">
      <c r="R100" s="44">
        <f>31/(19+31)</f>
        <v>0.62</v>
      </c>
    </row>
  </sheetData>
  <dataConsolidate/>
  <mergeCells count="24">
    <mergeCell ref="X21:AD21"/>
    <mergeCell ref="C1:D1"/>
    <mergeCell ref="E1:F1"/>
    <mergeCell ref="G1:H1"/>
    <mergeCell ref="I1:M1"/>
    <mergeCell ref="N1:Q1"/>
    <mergeCell ref="X1:AD1"/>
    <mergeCell ref="C21:D21"/>
    <mergeCell ref="E21:F21"/>
    <mergeCell ref="G21:H21"/>
    <mergeCell ref="I21:M21"/>
    <mergeCell ref="N21:Q21"/>
    <mergeCell ref="X62:AD62"/>
    <mergeCell ref="C41:D41"/>
    <mergeCell ref="E41:F41"/>
    <mergeCell ref="G41:H41"/>
    <mergeCell ref="I41:M41"/>
    <mergeCell ref="N41:Q41"/>
    <mergeCell ref="X41:AD41"/>
    <mergeCell ref="C62:D62"/>
    <mergeCell ref="E62:F62"/>
    <mergeCell ref="G62:H62"/>
    <mergeCell ref="I62:M62"/>
    <mergeCell ref="N62:Q62"/>
  </mergeCells>
  <pageMargins left="0.7" right="0.7" top="0.75" bottom="0.75" header="0.3" footer="0.3"/>
  <pageSetup paperSize="8" orientation="portrait" horizontalDpi="0" verticalDpi="0"/>
  <legacy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B378-A69C-0A49-B40B-305C06A28481}">
  <sheetPr>
    <tabColor rgb="FF00B0F0"/>
  </sheetPr>
  <dimension ref="A1:AF92"/>
  <sheetViews>
    <sheetView topLeftCell="A52" zoomScale="140" zoomScaleNormal="140" workbookViewId="0">
      <pane xSplit="1" topLeftCell="B41" activePane="topRight" state="frozen"/>
      <selection pane="topRight" activeCell="B64" sqref="B64"/>
    </sheetView>
  </sheetViews>
  <sheetFormatPr defaultColWidth="8.85546875" defaultRowHeight="15"/>
  <cols>
    <col min="1" max="1" width="10.85546875" bestFit="1" customWidth="1"/>
    <col min="2" max="2" width="22.7109375" bestFit="1" customWidth="1"/>
    <col min="3" max="3" width="13.7109375" bestFit="1" customWidth="1"/>
    <col min="4" max="4" width="18.7109375" bestFit="1" customWidth="1"/>
    <col min="5" max="5" width="16.7109375" bestFit="1" customWidth="1"/>
    <col min="6" max="6" width="18" bestFit="1" customWidth="1"/>
    <col min="7" max="7" width="18.42578125" bestFit="1" customWidth="1"/>
    <col min="8" max="8" width="13.42578125" bestFit="1" customWidth="1"/>
    <col min="9" max="9" width="15" bestFit="1" customWidth="1"/>
    <col min="10" max="10" width="17.7109375" bestFit="1" customWidth="1"/>
    <col min="11" max="11" width="14.7109375" bestFit="1" customWidth="1"/>
    <col min="12" max="12" width="19" bestFit="1" customWidth="1"/>
    <col min="13" max="13" width="21" bestFit="1" customWidth="1"/>
    <col min="14" max="14" width="21.42578125" bestFit="1" customWidth="1"/>
    <col min="15" max="15" width="17.28515625" bestFit="1" customWidth="1"/>
    <col min="16" max="16" width="17.140625" bestFit="1" customWidth="1"/>
    <col min="17" max="17" width="16" bestFit="1" customWidth="1"/>
    <col min="18" max="18" width="22.42578125" bestFit="1" customWidth="1"/>
    <col min="19" max="19" width="20.28515625" bestFit="1" customWidth="1"/>
    <col min="20" max="20" width="19.28515625" bestFit="1" customWidth="1"/>
    <col min="21" max="21" width="17.85546875" bestFit="1" customWidth="1"/>
    <col min="22" max="22" width="13.7109375" bestFit="1" customWidth="1"/>
    <col min="23" max="23" width="21.42578125" bestFit="1" customWidth="1"/>
    <col min="24" max="24" width="21" bestFit="1" customWidth="1"/>
    <col min="25" max="25" width="24.85546875" bestFit="1" customWidth="1"/>
    <col min="26" max="26" width="19.28515625" customWidth="1"/>
    <col min="27" max="27" width="28.28515625" bestFit="1" customWidth="1"/>
    <col min="28" max="28" width="29.28515625" bestFit="1" customWidth="1"/>
    <col min="29" max="29" width="26.7109375" bestFit="1" customWidth="1"/>
    <col min="30" max="30" width="17.140625" bestFit="1" customWidth="1"/>
    <col min="31" max="31" width="16" bestFit="1" customWidth="1"/>
    <col min="32" max="32" width="18" bestFit="1" customWidth="1"/>
    <col min="33" max="33" width="17.28515625" bestFit="1" customWidth="1"/>
    <col min="34" max="34" width="10" customWidth="1"/>
    <col min="35" max="35" width="9.7109375" customWidth="1"/>
    <col min="36" max="36" width="16" bestFit="1" customWidth="1"/>
    <col min="37" max="37" width="21" bestFit="1" customWidth="1"/>
    <col min="38" max="38" width="25.42578125" bestFit="1" customWidth="1"/>
    <col min="39" max="39" width="17.28515625" bestFit="1" customWidth="1"/>
    <col min="40" max="40" width="16.28515625" bestFit="1" customWidth="1"/>
    <col min="41" max="41" width="8.85546875" bestFit="1" customWidth="1"/>
    <col min="42" max="42" width="18" bestFit="1" customWidth="1"/>
    <col min="43" max="43" width="22.7109375" customWidth="1"/>
    <col min="44" max="44" width="8.85546875" bestFit="1" customWidth="1"/>
    <col min="45" max="45" width="13.140625" customWidth="1"/>
    <col min="46" max="46" width="14.42578125" customWidth="1"/>
  </cols>
  <sheetData>
    <row r="1" spans="1:32" s="59" customFormat="1" ht="54" customHeight="1">
      <c r="A1" s="54" t="s">
        <v>219</v>
      </c>
      <c r="B1" s="54" t="s">
        <v>264</v>
      </c>
      <c r="C1" s="54" t="s">
        <v>255</v>
      </c>
      <c r="D1" s="54" t="s">
        <v>265</v>
      </c>
      <c r="E1" s="54" t="s">
        <v>266</v>
      </c>
      <c r="F1" s="54" t="s">
        <v>230</v>
      </c>
      <c r="G1" s="54" t="s">
        <v>231</v>
      </c>
      <c r="H1" s="54" t="s">
        <v>267</v>
      </c>
      <c r="I1" s="54" t="s">
        <v>233</v>
      </c>
      <c r="J1" s="54" t="s">
        <v>234</v>
      </c>
      <c r="K1" s="54" t="s">
        <v>235</v>
      </c>
      <c r="L1" s="54" t="s">
        <v>236</v>
      </c>
      <c r="M1" s="54" t="s">
        <v>237</v>
      </c>
      <c r="N1" s="54" t="s">
        <v>238</v>
      </c>
      <c r="O1" s="54" t="s">
        <v>239</v>
      </c>
      <c r="P1" s="54" t="s">
        <v>240</v>
      </c>
      <c r="Q1" s="54" t="s">
        <v>268</v>
      </c>
      <c r="R1" s="54" t="s">
        <v>269</v>
      </c>
      <c r="S1" s="55" t="s">
        <v>242</v>
      </c>
      <c r="T1" s="55" t="s">
        <v>243</v>
      </c>
      <c r="U1" s="55" t="s">
        <v>244</v>
      </c>
      <c r="V1" s="55" t="s">
        <v>245</v>
      </c>
      <c r="W1" s="55" t="s">
        <v>270</v>
      </c>
      <c r="X1" s="55" t="s">
        <v>271</v>
      </c>
      <c r="Y1" s="55" t="s">
        <v>246</v>
      </c>
      <c r="Z1" s="55" t="s">
        <v>272</v>
      </c>
      <c r="AA1" s="55" t="s">
        <v>273</v>
      </c>
      <c r="AB1" s="55" t="s">
        <v>248</v>
      </c>
      <c r="AC1" s="58" t="s">
        <v>249</v>
      </c>
      <c r="AD1" s="58" t="s">
        <v>250</v>
      </c>
      <c r="AE1" s="54" t="s">
        <v>251</v>
      </c>
      <c r="AF1" s="54" t="s">
        <v>252</v>
      </c>
    </row>
    <row r="2" spans="1:32">
      <c r="A2" s="87">
        <v>45962</v>
      </c>
      <c r="B2" s="61">
        <v>0</v>
      </c>
      <c r="C2" s="61">
        <v>25</v>
      </c>
      <c r="D2" s="62">
        <f>Table13[[#This Row],[Investimento no Mês (Growth ** 40%**]]/Table13[[#This Row],[CPL 
(cadastro)]]</f>
        <v>0</v>
      </c>
      <c r="E2" s="63">
        <v>0</v>
      </c>
      <c r="F2" s="62">
        <f>Table13[[#This Row],[Novos Cadastros 
no App Personal]]*Table13[[#This Row],[Tx. % Ativação Personais (Conversão)]]</f>
        <v>0</v>
      </c>
      <c r="G2" s="62">
        <f>Table13[[#This Row],[Novos Personais Ativados]]</f>
        <v>0</v>
      </c>
      <c r="H2" s="62">
        <f>IFERROR(Table13[[#This Row],[Investimento no Mês (Growth ** 40%**]]/Table13[[#This Row],[Novos Personais Ativados]],0)</f>
        <v>0</v>
      </c>
      <c r="I2" s="66">
        <v>0</v>
      </c>
      <c r="J2" s="67">
        <f>Table13[[#This Row],[Personais 
Totais]]*Table13[[#This Row],[Tx. % Churn]]</f>
        <v>0</v>
      </c>
      <c r="K2" s="62">
        <f>Table13[[#This Row],[Personais 
Totais]]-Table13[[#This Row],[Qtde. Churn 
no Mês]]</f>
        <v>0</v>
      </c>
      <c r="L2" s="68"/>
      <c r="M2" s="69" t="s">
        <v>274</v>
      </c>
      <c r="N2" s="70" t="s">
        <v>274</v>
      </c>
      <c r="O2" s="62">
        <f>Table13[[#This Row],[Personais 
Ativos Mês]]+(Table13[[#This Row],[Personais 
Ativos Mês]]*Table13[[#This Row],[Média Alunos Estimada 
Total Personal]])</f>
        <v>0</v>
      </c>
      <c r="P2" s="71" t="s">
        <v>274</v>
      </c>
      <c r="Q2" s="71" t="s">
        <v>274</v>
      </c>
      <c r="R2" s="71">
        <f>Table13[[#This Row],[Total Usuários Estimado]]*2.99</f>
        <v>0</v>
      </c>
      <c r="S2" s="72">
        <f>Table13[[#This Row],[Média Alunos Estimada 
Total Personal]]-(Table13[[#This Row],[Tx. % Real Alunos 
não ativados]]*Table13[[#This Row],[Média Alunos Estimada 
Total Personal]])</f>
        <v>0</v>
      </c>
      <c r="T2" s="66">
        <v>0.54</v>
      </c>
      <c r="U2" s="14" t="e">
        <f>Y2/K2</f>
        <v>#DIV/0!</v>
      </c>
      <c r="V2" s="62">
        <f>Table13[[#This Row],[Média Real Alunos 
Ativos Personal]]*Table13[[#This Row],[Personais 
Ativos Mês]]</f>
        <v>0</v>
      </c>
      <c r="W2" s="14">
        <v>390.06</v>
      </c>
      <c r="X2" s="62"/>
      <c r="Y2" s="14">
        <v>0</v>
      </c>
      <c r="Z2" s="14">
        <v>0</v>
      </c>
      <c r="AA2" s="14">
        <f>Table13[[#This Row],[Total Real 
Usuários ]]*3.99</f>
        <v>0</v>
      </c>
      <c r="AB2" s="14">
        <f>Table13[[#This Row],[Faturamento 
Real Bruto]]</f>
        <v>0</v>
      </c>
      <c r="AC2" s="14">
        <v>0</v>
      </c>
      <c r="AD2" s="14">
        <f>Table13[[#This Row],[Investimento no Mês (Growth ** 40%**]]</f>
        <v>0</v>
      </c>
      <c r="AE2" s="73">
        <v>0</v>
      </c>
      <c r="AF2" s="74">
        <v>0</v>
      </c>
    </row>
    <row r="3" spans="1:32">
      <c r="A3" s="87">
        <v>45992</v>
      </c>
      <c r="B3" s="61">
        <v>0</v>
      </c>
      <c r="C3" s="61">
        <v>45</v>
      </c>
      <c r="D3" s="62">
        <f>Table13[[#This Row],[Investimento no Mês (Growth ** 40%**]]/Table13[[#This Row],[CPL 
(cadastro)]]</f>
        <v>0</v>
      </c>
      <c r="E3" s="63">
        <v>0</v>
      </c>
      <c r="F3" s="62">
        <f>Table13[[#This Row],[Novos Cadastros 
no App Personal]]*Table13[[#This Row],[Tx. % Ativação Personais (Conversão)]]</f>
        <v>0</v>
      </c>
      <c r="G3" s="62">
        <f>Table13[[#This Row],[Novos Personais Ativados]]+G2</f>
        <v>0</v>
      </c>
      <c r="H3" s="62">
        <f>IFERROR(Table13[[#This Row],[Investimento no Mês (Growth ** 40%**]]/Table13[[#This Row],[Novos Personais Ativados]],0)</f>
        <v>0</v>
      </c>
      <c r="I3" s="66">
        <v>0</v>
      </c>
      <c r="J3" s="67">
        <f>Table13[[#This Row],[Personais 
Totais]]*Table13[[#This Row],[Tx. % Churn]]</f>
        <v>0</v>
      </c>
      <c r="K3" s="62">
        <f>Table13[[#This Row],[Personais 
Totais]]-Table13[[#This Row],[Qtde. Churn 
no Mês]]</f>
        <v>0</v>
      </c>
      <c r="L3" s="68"/>
      <c r="M3" s="61">
        <v>0</v>
      </c>
      <c r="N3" s="76">
        <f>Table13[[#This Row],[Média Alunos Estimada 
Total Personal]]*Table13[[#This Row],[Ticket Médio Aluno Personal]]</f>
        <v>0</v>
      </c>
      <c r="O3" s="62">
        <f>Table13[[#This Row],[Personais 
Ativos Mês]]+(Table13[[#This Row],[Personais 
Ativos Mês]]*Table13[[#This Row],[Média Alunos Estimada 
Total Personal]])</f>
        <v>0</v>
      </c>
      <c r="P3" s="77">
        <f>Table13[[#This Row],[Média Faturamento
Estimada Personal]]*K2</f>
        <v>0</v>
      </c>
      <c r="Q3" s="77">
        <f>Table13[[#This Row],[Faturamento Estimado]]*7.5%</f>
        <v>0</v>
      </c>
      <c r="R3" s="71">
        <f>Table13[[#This Row],[Total Usuários Estimado]]*2.99</f>
        <v>0</v>
      </c>
      <c r="S3" s="72">
        <f>Table13[[#This Row],[Média Alunos Estimada 
Total Personal]]-(Table13[[#This Row],[Tx. % Real Alunos 
não ativados]]*Table13[[#This Row],[Média Alunos Estimada 
Total Personal]])</f>
        <v>0</v>
      </c>
      <c r="T3" s="66">
        <v>0.54</v>
      </c>
      <c r="U3" s="14">
        <f>Table13[[#This Row],[Ticket Médio Aluno Personal]]*Table13[[#This Row],[Média Real Alunos 
Ativos Personal]]</f>
        <v>0</v>
      </c>
      <c r="V3" s="62">
        <f>Table13[[#This Row],[Média Real Alunos 
Ativos Personal]]*Table13[[#This Row],[Personais 
Ativos Mês]]</f>
        <v>0</v>
      </c>
      <c r="W3" s="14">
        <v>499.27</v>
      </c>
      <c r="X3" s="62"/>
      <c r="Y3" s="14">
        <f>Table13[[#This Row],[Média Real por Personal]]*K2</f>
        <v>0</v>
      </c>
      <c r="Z3" s="14">
        <f>Table13[[#This Row],[Faturamento 
Real Bruto]]*5%</f>
        <v>0</v>
      </c>
      <c r="AA3" s="14">
        <f>Table13[[#This Row],[Total Real 
Usuários ]]*3.99</f>
        <v>0</v>
      </c>
      <c r="AB3" s="14">
        <f>Table13[[#This Row],[Faturamento 
Real Bruto]]+Y2</f>
        <v>0</v>
      </c>
      <c r="AC3" s="14">
        <f>Table13[[#This Row],[Receita 
MUVX (7,5%)]]+Z2</f>
        <v>0</v>
      </c>
      <c r="AD3" s="14">
        <f>Table13[[#This Row],[Investimento no Mês (Growth ** 40%**]]+AD2</f>
        <v>0</v>
      </c>
      <c r="AE3" s="73" t="e">
        <f>Table13[[#This Row],[Receita MUVX Acumulada]]/Table13[[#This Row],[Investimento Acumulado]]</f>
        <v>#DIV/0!</v>
      </c>
      <c r="AF3" s="73" t="e">
        <f>Table13[[#This Row],[ROI]]+AF2</f>
        <v>#DIV/0!</v>
      </c>
    </row>
    <row r="4" spans="1:32">
      <c r="A4" s="87">
        <v>46023</v>
      </c>
      <c r="B4" s="61">
        <f>B62*0.4</f>
        <v>0</v>
      </c>
      <c r="C4" s="61">
        <v>12</v>
      </c>
      <c r="D4" s="62">
        <f>Table13[[#This Row],[Investimento no Mês (Growth ** 40%**]]/Table13[[#This Row],[CPL 
(cadastro)]]</f>
        <v>0</v>
      </c>
      <c r="E4" s="63">
        <v>0</v>
      </c>
      <c r="F4" s="62">
        <f>Table13[[#This Row],[Novos Cadastros 
no App Personal]]*Table13[[#This Row],[Tx. % Ativação Personais (Conversão)]]</f>
        <v>0</v>
      </c>
      <c r="G4" s="62">
        <f>Table13[[#This Row],[Novos Personais Ativados]]+G3</f>
        <v>0</v>
      </c>
      <c r="H4" s="62">
        <f>IFERROR(Table13[[#This Row],[Investimento no Mês (Growth ** 40%**]]/Table13[[#This Row],[Novos Personais Ativados]],0)</f>
        <v>0</v>
      </c>
      <c r="I4" s="66">
        <v>0</v>
      </c>
      <c r="J4" s="67">
        <f>Table13[[#This Row],[Personais 
Totais]]*Table13[[#This Row],[Tx. % Churn]]</f>
        <v>0</v>
      </c>
      <c r="K4" s="62">
        <f>Table13[[#This Row],[Personais 
Totais]]-Table13[[#This Row],[Qtde. Churn 
no Mês]]</f>
        <v>0</v>
      </c>
      <c r="L4" s="68">
        <v>30</v>
      </c>
      <c r="M4" s="61">
        <v>60</v>
      </c>
      <c r="N4" s="76">
        <f>Table13[[#This Row],[Média Alunos Estimada 
Total Personal]]*Table13[[#This Row],[Ticket Médio Aluno Personal]]</f>
        <v>1800</v>
      </c>
      <c r="O4" s="62">
        <v>0</v>
      </c>
      <c r="P4" s="77">
        <f>Table13[[#This Row],[Média Faturamento
Estimada Personal]]*K3</f>
        <v>0</v>
      </c>
      <c r="Q4" s="77">
        <f>Table13[[#This Row],[Faturamento Estimado]]*7.5%</f>
        <v>0</v>
      </c>
      <c r="R4" s="71">
        <f>Table13[[#This Row],[Total Usuários Estimado]]*2.99</f>
        <v>0</v>
      </c>
      <c r="S4" s="72">
        <f>Table13[[#This Row],[Média Alunos Estimada 
Total Personal]]-(Table13[[#This Row],[Tx. % Real Alunos 
não ativados]]*Table13[[#This Row],[Média Alunos Estimada 
Total Personal]])</f>
        <v>13.799999999999997</v>
      </c>
      <c r="T4" s="66">
        <v>0.54</v>
      </c>
      <c r="U4" s="14">
        <f>Table13[[#This Row],[Ticket Médio Aluno Personal]]*Table13[[#This Row],[Média Real Alunos 
Ativos Personal]]</f>
        <v>827.99999999999977</v>
      </c>
      <c r="V4" s="62">
        <v>0</v>
      </c>
      <c r="W4" s="14">
        <v>874.55</v>
      </c>
      <c r="X4" s="62"/>
      <c r="Y4" s="14">
        <f>Table13[[#This Row],[Média Real por Personal]]*K3</f>
        <v>0</v>
      </c>
      <c r="Z4" s="14">
        <f>Table13[[#This Row],[Faturamento 
Real Bruto]]*5%</f>
        <v>0</v>
      </c>
      <c r="AA4" s="14">
        <f>Table13[[#This Row],[Total Real 
Usuários ]]*3.99</f>
        <v>0</v>
      </c>
      <c r="AB4" s="14">
        <f>AB3+Table13[[#This Row],[Faturamento 
Real Bruto]]</f>
        <v>0</v>
      </c>
      <c r="AC4" s="14">
        <f>AC3+Table13[[#This Row],[Receita 
MUVX (7,5%)]]</f>
        <v>0</v>
      </c>
      <c r="AD4" s="14">
        <f>Table13[[#This Row],[Investimento no Mês (Growth ** 40%**]]+AD3</f>
        <v>0</v>
      </c>
      <c r="AE4" s="73" t="e">
        <f>Table13[[#This Row],[Receita MUVX Acumulada]]/Table13[[#This Row],[Investimento Acumulado]]</f>
        <v>#DIV/0!</v>
      </c>
      <c r="AF4" s="73" t="e">
        <f>Table13[[#This Row],[ROI]]+AF3</f>
        <v>#DIV/0!</v>
      </c>
    </row>
    <row r="5" spans="1:32">
      <c r="A5" s="87">
        <v>46054</v>
      </c>
      <c r="B5" s="61">
        <f t="shared" ref="B5:B15" si="0">B63*0.4</f>
        <v>0</v>
      </c>
      <c r="C5" s="61">
        <f>C4*0.98</f>
        <v>11.76</v>
      </c>
      <c r="D5" s="62">
        <f>Table13[[#This Row],[Investimento no Mês (Growth ** 40%**]]/Table13[[#This Row],[CPL 
(cadastro)]]</f>
        <v>0</v>
      </c>
      <c r="E5" s="63">
        <v>0.06</v>
      </c>
      <c r="F5" s="62">
        <f>Table13[[#This Row],[Novos Cadastros 
no App Personal]]*Table13[[#This Row],[Tx. % Ativação Personais (Conversão)]]</f>
        <v>0</v>
      </c>
      <c r="G5" s="62">
        <f>Table13[[#This Row],[Novos Personais Ativados]]+G4</f>
        <v>0</v>
      </c>
      <c r="H5" s="62">
        <f>IFERROR(Table13[[#This Row],[Investimento no Mês (Growth ** 40%**]]/Table13[[#This Row],[Novos Personais Ativados]],0)</f>
        <v>0</v>
      </c>
      <c r="I5" s="66">
        <v>0.04</v>
      </c>
      <c r="J5" s="67">
        <f>Table13[[#This Row],[Personais 
Totais]]*Table13[[#This Row],[Tx. % Churn]]</f>
        <v>0</v>
      </c>
      <c r="K5" s="62">
        <f>Table13[[#This Row],[Personais 
Totais]]-Table13[[#This Row],[Qtde. Churn 
no Mês]]</f>
        <v>0</v>
      </c>
      <c r="L5" s="68">
        <v>30</v>
      </c>
      <c r="M5" s="61">
        <f t="shared" ref="M5:N15" si="1">M4*1.015</f>
        <v>60.899999999999991</v>
      </c>
      <c r="N5" s="76">
        <f t="shared" si="1"/>
        <v>1826.9999999999998</v>
      </c>
      <c r="O5" s="62">
        <v>0</v>
      </c>
      <c r="P5" s="77">
        <f>Table13[[#This Row],[Média Faturamento
Estimada Personal]]*K4</f>
        <v>0</v>
      </c>
      <c r="Q5" s="77">
        <f>Table13[[#This Row],[Faturamento Estimado]]*7.5%</f>
        <v>0</v>
      </c>
      <c r="R5" s="71">
        <f>Table13[[#This Row],[Total Usuários Estimado]]*2.99</f>
        <v>0</v>
      </c>
      <c r="S5" s="72">
        <f>Table13[[#This Row],[Média Alunos Estimada 
Total Personal]]-(Table13[[#This Row],[Tx. % Real Alunos 
não ativados]]*Table13[[#This Row],[Média Alunos Estimada 
Total Personal]])</f>
        <v>18</v>
      </c>
      <c r="T5" s="66">
        <v>0.4</v>
      </c>
      <c r="U5" s="14">
        <f>Table13[[#This Row],[Ticket Médio Aluno Personal]]*Table13[[#This Row],[Média Real Alunos 
Ativos Personal]]</f>
        <v>1096.1999999999998</v>
      </c>
      <c r="V5" s="62">
        <f>Table13[[#This Row],[Média Real Alunos 
Ativos Personal]]*Table13[[#This Row],[Personais 
Ativos Mês]]</f>
        <v>0</v>
      </c>
      <c r="W5" s="14">
        <v>1030.71</v>
      </c>
      <c r="X5" s="62"/>
      <c r="Y5" s="14">
        <f>Table13[[#This Row],[Média Real por Personal]]*K4</f>
        <v>0</v>
      </c>
      <c r="Z5" s="14">
        <f>Table13[[#This Row],[Faturamento 
Real Bruto]]*5%</f>
        <v>0</v>
      </c>
      <c r="AA5" s="14">
        <f>Table13[[#This Row],[Total Real 
Usuários ]]*3.99</f>
        <v>0</v>
      </c>
      <c r="AB5" s="14">
        <f>AB4+Table13[[#This Row],[Faturamento 
Real Bruto]]</f>
        <v>0</v>
      </c>
      <c r="AC5" s="14">
        <f>AC4+Table13[[#This Row],[Receita 
MUVX (7,5%)]]</f>
        <v>0</v>
      </c>
      <c r="AD5" s="14">
        <f>Table13[[#This Row],[Investimento no Mês (Growth ** 40%**]]+AD4</f>
        <v>0</v>
      </c>
      <c r="AE5" s="73" t="e">
        <f>Table13[[#This Row],[Receita MUVX Acumulada]]/Table13[[#This Row],[Investimento Acumulado]]</f>
        <v>#DIV/0!</v>
      </c>
      <c r="AF5" s="73" t="e">
        <f>Table13[[#This Row],[ROI]]+AF4</f>
        <v>#DIV/0!</v>
      </c>
    </row>
    <row r="6" spans="1:32">
      <c r="A6" s="87">
        <v>46082</v>
      </c>
      <c r="B6" s="61">
        <f t="shared" si="0"/>
        <v>4000</v>
      </c>
      <c r="C6" s="61">
        <f>C5*0.98</f>
        <v>11.524799999999999</v>
      </c>
      <c r="D6" s="62">
        <f>Table13[[#This Row],[Investimento no Mês (Growth ** 40%**]]/Table13[[#This Row],[CPL 
(cadastro)]]</f>
        <v>347.07760655282522</v>
      </c>
      <c r="E6" s="63">
        <v>0.03</v>
      </c>
      <c r="F6" s="62">
        <f>Table13[[#This Row],[Novos Cadastros 
no App Personal]]*Table13[[#This Row],[Tx. % Ativação Personais (Conversão)]]</f>
        <v>10.412328196584756</v>
      </c>
      <c r="G6" s="62">
        <f>Table13[[#This Row],[Novos Personais Ativados]]+G5</f>
        <v>10.412328196584756</v>
      </c>
      <c r="H6" s="62">
        <f>IFERROR(Table13[[#This Row],[Investimento no Mês (Growth ** 40%**]]/Table13[[#This Row],[Novos Personais Ativados]],0)</f>
        <v>384.16</v>
      </c>
      <c r="I6" s="66">
        <v>0.06</v>
      </c>
      <c r="J6" s="67">
        <f>Table13[[#This Row],[Personais 
Totais]]*Table13[[#This Row],[Tx. % Churn]]</f>
        <v>0.62473969179508537</v>
      </c>
      <c r="K6" s="62">
        <f>Table13[[#This Row],[Personais 
Totais]]-Table13[[#This Row],[Qtde. Churn 
no Mês]]</f>
        <v>9.7875885047896709</v>
      </c>
      <c r="L6" s="68">
        <v>30</v>
      </c>
      <c r="M6" s="61">
        <f t="shared" si="1"/>
        <v>61.813499999999983</v>
      </c>
      <c r="N6" s="76">
        <f t="shared" si="1"/>
        <v>1854.4049999999995</v>
      </c>
      <c r="O6" s="62">
        <f>Table13[[#This Row],[Personais 
Ativos Mês]]+(Table13[[#This Row],[Personais 
Ativos Mês]]*Table13[[#This Row],[Média Alunos Estimada 
Total Personal]])</f>
        <v>303.41524364847976</v>
      </c>
      <c r="P6" s="77">
        <f>Table13[[#This Row],[Média Faturamento
Estimada Personal]]*K5</f>
        <v>0</v>
      </c>
      <c r="Q6" s="77">
        <f>Table13[[#This Row],[Faturamento Estimado]]*7.5%</f>
        <v>0</v>
      </c>
      <c r="R6" s="71">
        <f>Table13[[#This Row],[Total Usuários Estimado]]*2.99</f>
        <v>907.21157850895452</v>
      </c>
      <c r="S6" s="72">
        <f>Table13[[#This Row],[Média Alunos Estimada 
Total Personal]]-(Table13[[#This Row],[Tx. % Real Alunos 
não ativados]]*Table13[[#This Row],[Média Alunos Estimada 
Total Personal]])</f>
        <v>21</v>
      </c>
      <c r="T6" s="66">
        <v>0.3</v>
      </c>
      <c r="U6" s="14">
        <f>Table13[[#This Row],[Ticket Médio Aluno Personal]]*Table13[[#This Row],[Média Real Alunos 
Ativos Personal]]</f>
        <v>1298.0834999999997</v>
      </c>
      <c r="V6" s="62">
        <f>Table13[[#This Row],[Média Real Alunos 
Ativos Personal]]*Table13[[#This Row],[Personais 
Ativos Mês]]</f>
        <v>205.53935860058309</v>
      </c>
      <c r="W6" s="14">
        <v>1177.8699999999999</v>
      </c>
      <c r="X6" s="62"/>
      <c r="Y6" s="14">
        <f>Table13[[#This Row],[Média Real por Personal]]*K5</f>
        <v>0</v>
      </c>
      <c r="Z6" s="14">
        <f>Table13[[#This Row],[Faturamento 
Real Bruto]]*5%</f>
        <v>0</v>
      </c>
      <c r="AA6" s="14">
        <f>Table13[[#This Row],[Total Real 
Usuários ]]*3.99</f>
        <v>820.10204081632651</v>
      </c>
      <c r="AB6" s="14">
        <f>AB5+Table13[[#This Row],[Faturamento 
Real Bruto]]</f>
        <v>0</v>
      </c>
      <c r="AC6" s="14">
        <f>AC5+Table13[[#This Row],[Receita 
MUVX (7,5%)]]</f>
        <v>0</v>
      </c>
      <c r="AD6" s="14">
        <f>Table13[[#This Row],[Investimento no Mês (Growth ** 40%**]]+AD5</f>
        <v>4000</v>
      </c>
      <c r="AE6" s="73">
        <f>Table13[[#This Row],[Receita MUVX Acumulada]]/Table13[[#This Row],[Investimento Acumulado]]</f>
        <v>0</v>
      </c>
      <c r="AF6" s="73" t="e">
        <f>Table13[[#This Row],[ROI]]+AF5</f>
        <v>#DIV/0!</v>
      </c>
    </row>
    <row r="7" spans="1:32">
      <c r="A7" s="87">
        <v>46113</v>
      </c>
      <c r="B7" s="61">
        <f t="shared" si="0"/>
        <v>4000</v>
      </c>
      <c r="C7" s="61">
        <f t="shared" ref="C6:C15" si="2">C6*0.98</f>
        <v>11.294303999999999</v>
      </c>
      <c r="D7" s="62">
        <f>Table13[[#This Row],[Investimento no Mês (Growth ** 40%**]]/Table13[[#This Row],[CPL 
(cadastro)]]</f>
        <v>354.160823013087</v>
      </c>
      <c r="E7" s="63">
        <v>0.04</v>
      </c>
      <c r="F7" s="62">
        <f>Table13[[#This Row],[Novos Cadastros 
no App Personal]]*Table13[[#This Row],[Tx. % Ativação Personais (Conversão)]]</f>
        <v>14.16643292052348</v>
      </c>
      <c r="G7" s="62">
        <f>Table13[[#This Row],[Novos Personais Ativados]]+G6</f>
        <v>24.578761117108236</v>
      </c>
      <c r="H7" s="62">
        <f>IFERROR(Table13[[#This Row],[Investimento no Mês (Growth ** 40%**]]/Table13[[#This Row],[Novos Personais Ativados]],0)</f>
        <v>282.35759999999993</v>
      </c>
      <c r="I7" s="66">
        <v>0.04</v>
      </c>
      <c r="J7" s="67">
        <f>Table13[[#This Row],[Personais 
Totais]]*Table13[[#This Row],[Tx. % Churn]]</f>
        <v>0.98315044468432944</v>
      </c>
      <c r="K7" s="62">
        <f>Table13[[#This Row],[Personais 
Totais]]-Table13[[#This Row],[Qtde. Churn 
no Mês]]</f>
        <v>23.595610672423906</v>
      </c>
      <c r="L7" s="68">
        <v>30</v>
      </c>
      <c r="M7" s="61">
        <f t="shared" si="1"/>
        <v>62.740702499999976</v>
      </c>
      <c r="N7" s="76">
        <f t="shared" si="1"/>
        <v>1882.2210749999992</v>
      </c>
      <c r="O7" s="62">
        <f>Table13[[#This Row],[Personais 
Ativos Mês]]+(Table13[[#This Row],[Personais 
Ativos Mês]]*Table13[[#This Row],[Média Alunos Estimada 
Total Personal]])</f>
        <v>731.46393084514114</v>
      </c>
      <c r="P7" s="77">
        <f>Table13[[#This Row],[Média Faturamento
Estimada Personal]]*K6</f>
        <v>18422.405357142849</v>
      </c>
      <c r="Q7" s="77">
        <f>Table13[[#This Row],[Faturamento Estimado]]*7.5%</f>
        <v>1381.6804017857137</v>
      </c>
      <c r="R7" s="71">
        <f>Table13[[#This Row],[Total Usuários Estimado]]*2.99</f>
        <v>2187.0771532269723</v>
      </c>
      <c r="S7" s="72">
        <f>Table13[[#This Row],[Média Alunos Estimada 
Total Personal]]-(Table13[[#This Row],[Tx. % Real Alunos 
não ativados]]*Table13[[#This Row],[Média Alunos Estimada 
Total Personal]])</f>
        <v>27</v>
      </c>
      <c r="T7" s="66">
        <v>0.1</v>
      </c>
      <c r="U7" s="14">
        <f>Table13[[#This Row],[Ticket Médio Aluno Personal]]*Table13[[#This Row],[Média Real Alunos 
Ativos Personal]]</f>
        <v>1693.9989674999993</v>
      </c>
      <c r="V7" s="62">
        <f>Table13[[#This Row],[Média Real Alunos 
Ativos Personal]]*Table13[[#This Row],[Personais 
Ativos Mês]]</f>
        <v>637.08148815544541</v>
      </c>
      <c r="W7" s="14">
        <v>1404.73</v>
      </c>
      <c r="X7" s="62"/>
      <c r="Y7" s="14">
        <f>Table13[[#This Row],[Média Real por Personal]]*K6</f>
        <v>16580.164821428563</v>
      </c>
      <c r="Z7" s="14">
        <f>Table13[[#This Row],[Faturamento 
Real Bruto]]*5%</f>
        <v>829.00824107142819</v>
      </c>
      <c r="AA7" s="14">
        <f>Table13[[#This Row],[Total Real 
Usuários ]]*3.99</f>
        <v>2541.9551377402272</v>
      </c>
      <c r="AB7" s="14">
        <f>AB6+Table13[[#This Row],[Faturamento 
Real Bruto]]</f>
        <v>16580.164821428563</v>
      </c>
      <c r="AC7" s="14">
        <f>AC6+Table13[[#This Row],[Receita 
MUVX (7,5%)]]</f>
        <v>829.00824107142819</v>
      </c>
      <c r="AD7" s="14">
        <f>Table13[[#This Row],[Investimento no Mês (Growth ** 40%**]]+AD6</f>
        <v>8000</v>
      </c>
      <c r="AE7" s="73">
        <f>Table13[[#This Row],[Receita MUVX Acumulada]]/Table13[[#This Row],[Investimento Acumulado]]</f>
        <v>0.10362603013392853</v>
      </c>
      <c r="AF7" s="73" t="e">
        <f>Table13[[#This Row],[ROI]]+AF6</f>
        <v>#DIV/0!</v>
      </c>
    </row>
    <row r="8" spans="1:32">
      <c r="A8" s="87">
        <v>46143</v>
      </c>
      <c r="B8" s="61">
        <f t="shared" si="0"/>
        <v>12000</v>
      </c>
      <c r="C8" s="61">
        <f t="shared" si="2"/>
        <v>11.068417919999998</v>
      </c>
      <c r="D8" s="62">
        <f>Table13[[#This Row],[Investimento no Mês (Growth ** 40%**]]/Table13[[#This Row],[CPL 
(cadastro)]]</f>
        <v>1084.1657847339397</v>
      </c>
      <c r="E8" s="63">
        <v>7.0000000000000007E-2</v>
      </c>
      <c r="F8" s="62">
        <f>Table13[[#This Row],[Novos Cadastros 
no App Personal]]*Table13[[#This Row],[Tx. % Ativação Personais (Conversão)]]</f>
        <v>75.891604931375795</v>
      </c>
      <c r="G8" s="62">
        <f>Table13[[#This Row],[Novos Personais Ativados]]+G7</f>
        <v>100.47036604848404</v>
      </c>
      <c r="H8" s="62">
        <f>IFERROR(Table13[[#This Row],[Investimento no Mês (Growth ** 40%**]]/Table13[[#This Row],[Novos Personais Ativados]],0)</f>
        <v>158.12025599999996</v>
      </c>
      <c r="I8" s="66">
        <v>0.05</v>
      </c>
      <c r="J8" s="67">
        <f>Table13[[#This Row],[Personais 
Totais]]*Table13[[#This Row],[Tx. % Churn]]</f>
        <v>5.0235183024242023</v>
      </c>
      <c r="K8" s="62">
        <f>Table13[[#This Row],[Personais 
Totais]]-Table13[[#This Row],[Qtde. Churn 
no Mês]]</f>
        <v>95.446847746059831</v>
      </c>
      <c r="L8" s="68">
        <v>30</v>
      </c>
      <c r="M8" s="61">
        <f t="shared" si="1"/>
        <v>63.681813037499971</v>
      </c>
      <c r="N8" s="76">
        <f t="shared" si="1"/>
        <v>1910.4543911249991</v>
      </c>
      <c r="O8" s="62">
        <f>Table13[[#This Row],[Personais 
Ativos Mês]]+(Table13[[#This Row],[Personais 
Ativos Mês]]*Table13[[#This Row],[Média Alunos Estimada 
Total Personal]])</f>
        <v>2958.852280127855</v>
      </c>
      <c r="P8" s="77">
        <f>Table13[[#This Row],[Média Faturamento
Estimada Personal]]*K7</f>
        <v>45078.33802040814</v>
      </c>
      <c r="Q8" s="77">
        <f>Table13[[#This Row],[Faturamento Estimado]]*7.5%</f>
        <v>3380.8753515306103</v>
      </c>
      <c r="R8" s="71">
        <f>Table13[[#This Row],[Total Usuários Estimado]]*2.99</f>
        <v>8846.9683175822865</v>
      </c>
      <c r="S8" s="72">
        <f>Table13[[#This Row],[Média Alunos Estimada 
Total Personal]]-(Table13[[#This Row],[Tx. % Real Alunos 
não ativados]]*Table13[[#This Row],[Média Alunos Estimada 
Total Personal]])</f>
        <v>27</v>
      </c>
      <c r="T8" s="66">
        <v>0.1</v>
      </c>
      <c r="U8" s="14">
        <f>Table13[[#This Row],[Ticket Médio Aluno Personal]]*Table13[[#This Row],[Média Real Alunos 
Ativos Personal]]</f>
        <v>1719.4089520124992</v>
      </c>
      <c r="V8" s="62">
        <f>Table13[[#This Row],[Média Real Alunos 
Ativos Personal]]*Table13[[#This Row],[Personais 
Ativos Mês]]</f>
        <v>2577.0648891436153</v>
      </c>
      <c r="W8" s="14">
        <v>1617.95</v>
      </c>
      <c r="X8" s="62"/>
      <c r="Y8" s="14">
        <f>Table13[[#This Row],[Média Real por Personal]]*K7</f>
        <v>40570.504218367329</v>
      </c>
      <c r="Z8" s="14">
        <f>Table13[[#This Row],[Faturamento 
Real Bruto]]*5%</f>
        <v>2028.5252109183666</v>
      </c>
      <c r="AA8" s="14">
        <f>Table13[[#This Row],[Total Real 
Usuários ]]*3.99</f>
        <v>10282.488907683026</v>
      </c>
      <c r="AB8" s="14">
        <f>AB7+Table13[[#This Row],[Faturamento 
Real Bruto]]</f>
        <v>57150.669039795888</v>
      </c>
      <c r="AC8" s="14">
        <f>AC7+Table13[[#This Row],[Receita 
MUVX (7,5%)]]</f>
        <v>2857.5334519897947</v>
      </c>
      <c r="AD8" s="14">
        <f>Table13[[#This Row],[Investimento no Mês (Growth ** 40%**]]+AD7</f>
        <v>20000</v>
      </c>
      <c r="AE8" s="73">
        <f>Table13[[#This Row],[Receita MUVX Acumulada]]/Table13[[#This Row],[Investimento Acumulado]]</f>
        <v>0.14287667259948975</v>
      </c>
      <c r="AF8" s="73" t="e">
        <f>Table13[[#This Row],[ROI]]+AF7</f>
        <v>#DIV/0!</v>
      </c>
    </row>
    <row r="9" spans="1:32">
      <c r="A9" s="87">
        <v>46174</v>
      </c>
      <c r="B9" s="61">
        <f t="shared" si="0"/>
        <v>16000</v>
      </c>
      <c r="C9" s="61">
        <f t="shared" si="2"/>
        <v>10.847049561599999</v>
      </c>
      <c r="D9" s="62">
        <f>Table13[[#This Row],[Investimento no Mês (Growth ** 40%**]]/Table13[[#This Row],[CPL 
(cadastro)]]</f>
        <v>1475.0554894339316</v>
      </c>
      <c r="E9" s="63">
        <v>0.05</v>
      </c>
      <c r="F9" s="62">
        <f>Table13[[#This Row],[Novos Cadastros 
no App Personal]]*Table13[[#This Row],[Tx. % Ativação Personais (Conversão)]]</f>
        <v>73.752774471696583</v>
      </c>
      <c r="G9" s="62">
        <f>Table13[[#This Row],[Novos Personais Ativados]]+G8</f>
        <v>174.22314052018061</v>
      </c>
      <c r="H9" s="62">
        <f>IFERROR(Table13[[#This Row],[Investimento no Mês (Growth ** 40%**]]/Table13[[#This Row],[Novos Personais Ativados]],0)</f>
        <v>216.94099123199999</v>
      </c>
      <c r="I9" s="66">
        <v>0.05</v>
      </c>
      <c r="J9" s="67">
        <f>Table13[[#This Row],[Personais 
Totais]]*Table13[[#This Row],[Tx. % Churn]]</f>
        <v>8.7111570260090314</v>
      </c>
      <c r="K9" s="62">
        <f>Table13[[#This Row],[Personais 
Totais]]-Table13[[#This Row],[Qtde. Churn 
no Mês]]</f>
        <v>165.51198349417157</v>
      </c>
      <c r="L9" s="68">
        <v>30</v>
      </c>
      <c r="M9" s="61">
        <f t="shared" si="1"/>
        <v>64.637040233062464</v>
      </c>
      <c r="N9" s="76">
        <f t="shared" si="1"/>
        <v>1939.1112069918738</v>
      </c>
      <c r="O9" s="62">
        <f>Table13[[#This Row],[Personais 
Ativos Mês]]+(Table13[[#This Row],[Personais 
Ativos Mês]]*Table13[[#This Row],[Média Alunos Estimada 
Total Personal]])</f>
        <v>5130.8714883193188</v>
      </c>
      <c r="P9" s="77">
        <f>Table13[[#This Row],[Média Faturamento
Estimada Personal]]*K8</f>
        <v>185082.05213643168</v>
      </c>
      <c r="Q9" s="77">
        <f>Table13[[#This Row],[Faturamento Estimado]]*7.5%</f>
        <v>13881.153910232375</v>
      </c>
      <c r="R9" s="71">
        <f>Table13[[#This Row],[Total Usuários Estimado]]*2.99</f>
        <v>15341.305750074764</v>
      </c>
      <c r="S9" s="72">
        <f>Table13[[#This Row],[Média Alunos Estimada 
Total Personal]]-(Table13[[#This Row],[Tx. % Real Alunos 
não ativados]]*Table13[[#This Row],[Média Alunos Estimada 
Total Personal]])</f>
        <v>27</v>
      </c>
      <c r="T9" s="66">
        <v>0.1</v>
      </c>
      <c r="U9" s="14">
        <f>Table13[[#This Row],[Ticket Médio Aluno Personal]]*Table13[[#This Row],[Média Real Alunos 
Ativos Personal]]</f>
        <v>1745.2000862926866</v>
      </c>
      <c r="V9" s="62">
        <f>Table13[[#This Row],[Média Real Alunos 
Ativos Personal]]*Table13[[#This Row],[Personais 
Ativos Mês]]</f>
        <v>4468.8235543426326</v>
      </c>
      <c r="W9" s="14">
        <v>1904.26</v>
      </c>
      <c r="X9" s="62"/>
      <c r="Y9" s="14">
        <f>Table13[[#This Row],[Média Real por Personal]]*K8</f>
        <v>166573.84692278854</v>
      </c>
      <c r="Z9" s="14">
        <f>Table13[[#This Row],[Faturamento 
Real Bruto]]*5%</f>
        <v>8328.6923461394272</v>
      </c>
      <c r="AA9" s="14">
        <f>Table13[[#This Row],[Total Real 
Usuários ]]*3.99</f>
        <v>17830.605981827106</v>
      </c>
      <c r="AB9" s="14">
        <f>AB8+Table13[[#This Row],[Faturamento 
Real Bruto]]</f>
        <v>223724.51596258441</v>
      </c>
      <c r="AC9" s="14">
        <f>AC8+Table13[[#This Row],[Receita 
MUVX (7,5%)]]</f>
        <v>11186.225798129222</v>
      </c>
      <c r="AD9" s="14">
        <f>Table13[[#This Row],[Investimento no Mês (Growth ** 40%**]]+AD8</f>
        <v>36000</v>
      </c>
      <c r="AE9" s="73">
        <f>Table13[[#This Row],[Receita MUVX Acumulada]]/Table13[[#This Row],[Investimento Acumulado]]</f>
        <v>0.3107284943924784</v>
      </c>
      <c r="AF9" s="73" t="e">
        <f>Table13[[#This Row],[ROI]]+AF8</f>
        <v>#DIV/0!</v>
      </c>
    </row>
    <row r="10" spans="1:32">
      <c r="A10" s="87">
        <v>46204</v>
      </c>
      <c r="B10" s="61">
        <f t="shared" si="0"/>
        <v>69920</v>
      </c>
      <c r="C10" s="61">
        <f t="shared" si="2"/>
        <v>10.630108570367998</v>
      </c>
      <c r="D10" s="62">
        <f>Table13[[#This Row],[Investimento no Mês (Growth ** 40%**]]/Table13[[#This Row],[CPL 
(cadastro)]]</f>
        <v>6577.5433559451858</v>
      </c>
      <c r="E10" s="63">
        <v>0.06</v>
      </c>
      <c r="F10" s="62">
        <f>Table13[[#This Row],[Novos Cadastros 
no App Personal]]*Table13[[#This Row],[Tx. % Ativação Personais (Conversão)]]</f>
        <v>394.65260135671116</v>
      </c>
      <c r="G10" s="62">
        <f>Table13[[#This Row],[Novos Personais Ativados]]+G9</f>
        <v>568.87574187689177</v>
      </c>
      <c r="H10" s="62">
        <f>IFERROR(Table13[[#This Row],[Investimento no Mês (Growth ** 40%**]]/Table13[[#This Row],[Novos Personais Ativados]],0)</f>
        <v>177.16847617279996</v>
      </c>
      <c r="I10" s="66">
        <v>0.02</v>
      </c>
      <c r="J10" s="67">
        <f>Table13[[#This Row],[Personais 
Totais]]*Table13[[#This Row],[Tx. % Churn]]</f>
        <v>11.377514837537836</v>
      </c>
      <c r="K10" s="62">
        <f>Table13[[#This Row],[Personais 
Totais]]-Table13[[#This Row],[Qtde. Churn 
no Mês]]</f>
        <v>557.49822703935388</v>
      </c>
      <c r="L10" s="68">
        <v>30</v>
      </c>
      <c r="M10" s="61">
        <f t="shared" si="1"/>
        <v>65.606595836558398</v>
      </c>
      <c r="N10" s="76">
        <f t="shared" si="1"/>
        <v>1968.1978750967517</v>
      </c>
      <c r="O10" s="62">
        <f>Table13[[#This Row],[Personais 
Ativos Mês]]+(Table13[[#This Row],[Personais 
Ativos Mês]]*Table13[[#This Row],[Média Alunos Estimada 
Total Personal]])</f>
        <v>17282.445038219972</v>
      </c>
      <c r="P10" s="77">
        <f>Table13[[#This Row],[Média Faturamento
Estimada Personal]]*K9</f>
        <v>325760.33421627712</v>
      </c>
      <c r="Q10" s="77">
        <f>Table13[[#This Row],[Faturamento Estimado]]*7.5%</f>
        <v>24432.025066220784</v>
      </c>
      <c r="R10" s="71">
        <f>Table13[[#This Row],[Total Usuários Estimado]]*2.99</f>
        <v>51674.510664277717</v>
      </c>
      <c r="S10" s="72">
        <f>Table13[[#This Row],[Média Alunos Estimada 
Total Personal]]-(Table13[[#This Row],[Tx. % Real Alunos 
não ativados]]*Table13[[#This Row],[Média Alunos Estimada 
Total Personal]])</f>
        <v>27</v>
      </c>
      <c r="T10" s="66">
        <v>0.1</v>
      </c>
      <c r="U10" s="14">
        <f>Table13[[#This Row],[Ticket Médio Aluno Personal]]*Table13[[#This Row],[Média Real Alunos 
Ativos Personal]]</f>
        <v>1771.3780875870768</v>
      </c>
      <c r="V10" s="62">
        <f>Table13[[#This Row],[Média Real Alunos 
Ativos Personal]]*Table13[[#This Row],[Personais 
Ativos Mês]]</f>
        <v>15052.452130062555</v>
      </c>
      <c r="W10" s="14">
        <v>2334.79</v>
      </c>
      <c r="X10" s="62"/>
      <c r="Y10" s="14">
        <f>Table13[[#This Row],[Média Real por Personal]]*K9</f>
        <v>293184.30079464946</v>
      </c>
      <c r="Z10" s="14">
        <f>Table13[[#This Row],[Faturamento 
Real Bruto]]*5%</f>
        <v>14659.215039732473</v>
      </c>
      <c r="AA10" s="14">
        <f>Table13[[#This Row],[Total Real 
Usuários ]]*3.99</f>
        <v>60059.283998949599</v>
      </c>
      <c r="AB10" s="14">
        <f>AB9+Table13[[#This Row],[Faturamento 
Real Bruto]]</f>
        <v>516908.81675723387</v>
      </c>
      <c r="AC10" s="14">
        <f>AC9+Table13[[#This Row],[Receita 
MUVX (7,5%)]]</f>
        <v>25845.440837861694</v>
      </c>
      <c r="AD10" s="14">
        <f>Table13[[#This Row],[Investimento no Mês (Growth ** 40%**]]+AD9</f>
        <v>105920</v>
      </c>
      <c r="AE10" s="73">
        <f>Table13[[#This Row],[Receita MUVX Acumulada]]/Table13[[#This Row],[Investimento Acumulado]]</f>
        <v>0.24400907135443442</v>
      </c>
      <c r="AF10" s="73" t="e">
        <f>Table13[[#This Row],[ROI]]+AF9</f>
        <v>#DIV/0!</v>
      </c>
    </row>
    <row r="11" spans="1:32">
      <c r="A11" s="87">
        <v>46235</v>
      </c>
      <c r="B11" s="61">
        <f t="shared" si="0"/>
        <v>80408</v>
      </c>
      <c r="C11" s="61">
        <f t="shared" si="2"/>
        <v>10.417506398960638</v>
      </c>
      <c r="D11" s="62">
        <f>Table13[[#This Row],[Investimento no Mês (Growth ** 40%**]]/Table13[[#This Row],[CPL 
(cadastro)]]</f>
        <v>7718.5457748336357</v>
      </c>
      <c r="E11" s="63">
        <v>0.08</v>
      </c>
      <c r="F11" s="62">
        <f>Table13[[#This Row],[Novos Cadastros 
no App Personal]]*Table13[[#This Row],[Tx. % Ativação Personais (Conversão)]]</f>
        <v>617.48366198669089</v>
      </c>
      <c r="G11" s="62">
        <f>Table13[[#This Row],[Novos Personais Ativados]]+G10</f>
        <v>1186.3594038635827</v>
      </c>
      <c r="H11" s="62">
        <f>IFERROR(Table13[[#This Row],[Investimento no Mês (Growth ** 40%**]]/Table13[[#This Row],[Novos Personais Ativados]],0)</f>
        <v>130.21882998700798</v>
      </c>
      <c r="I11" s="66">
        <v>0.03</v>
      </c>
      <c r="J11" s="67">
        <f>Table13[[#This Row],[Personais 
Totais]]*Table13[[#This Row],[Tx. % Churn]]</f>
        <v>35.59078211590748</v>
      </c>
      <c r="K11" s="62">
        <f>Table13[[#This Row],[Personais 
Totais]]-Table13[[#This Row],[Qtde. Churn 
no Mês]]</f>
        <v>1150.7686217476751</v>
      </c>
      <c r="L11" s="68">
        <v>30</v>
      </c>
      <c r="M11" s="61">
        <f t="shared" si="1"/>
        <v>66.590694774106765</v>
      </c>
      <c r="N11" s="76">
        <f t="shared" si="1"/>
        <v>1997.7208432232028</v>
      </c>
      <c r="O11" s="62">
        <f>Table13[[#This Row],[Personais 
Ativos Mês]]+(Table13[[#This Row],[Personais 
Ativos Mês]]*Table13[[#This Row],[Média Alunos Estimada 
Total Personal]])</f>
        <v>35673.827274177922</v>
      </c>
      <c r="P11" s="77">
        <f>Table13[[#This Row],[Média Faturamento
Estimada Personal]]*K10</f>
        <v>1113725.8282164985</v>
      </c>
      <c r="Q11" s="77">
        <f>Table13[[#This Row],[Faturamento Estimado]]*7.5%</f>
        <v>83529.437116237386</v>
      </c>
      <c r="R11" s="71">
        <f>Table13[[#This Row],[Total Usuários Estimado]]*2.99</f>
        <v>106664.74354979199</v>
      </c>
      <c r="S11" s="72">
        <f>Table13[[#This Row],[Média Alunos Estimada 
Total Personal]]-(Table13[[#This Row],[Tx. % Real Alunos 
não ativados]]*Table13[[#This Row],[Média Alunos Estimada 
Total Personal]])</f>
        <v>27</v>
      </c>
      <c r="T11" s="66">
        <v>0.1</v>
      </c>
      <c r="U11" s="14">
        <f>Table13[[#This Row],[Ticket Médio Aluno Personal]]*Table13[[#This Row],[Média Real Alunos 
Ativos Personal]]</f>
        <v>1797.9487589008827</v>
      </c>
      <c r="V11" s="62">
        <f>Table13[[#This Row],[Média Real Alunos 
Ativos Personal]]*Table13[[#This Row],[Personais 
Ativos Mês]]</f>
        <v>31070.752787187226</v>
      </c>
      <c r="W11" s="14">
        <v>2731.57</v>
      </c>
      <c r="X11" s="62"/>
      <c r="Y11" s="14">
        <f>Table13[[#This Row],[Média Real por Personal]]*K10</f>
        <v>1002353.2453948489</v>
      </c>
      <c r="Z11" s="14">
        <f>Table13[[#This Row],[Faturamento 
Real Bruto]]*5%</f>
        <v>50117.662269742446</v>
      </c>
      <c r="AA11" s="14">
        <f>Table13[[#This Row],[Total Real 
Usuários ]]*3.99</f>
        <v>123972.30362087704</v>
      </c>
      <c r="AB11" s="14">
        <f>AB10+Table13[[#This Row],[Faturamento 
Real Bruto]]</f>
        <v>1519262.0621520828</v>
      </c>
      <c r="AC11" s="14">
        <f>AC10+Table13[[#This Row],[Receita 
MUVX (7,5%)]]</f>
        <v>75963.10310760414</v>
      </c>
      <c r="AD11" s="14">
        <f>Table13[[#This Row],[Investimento no Mês (Growth ** 40%**]]+AD10</f>
        <v>186328</v>
      </c>
      <c r="AE11" s="73">
        <f>Table13[[#This Row],[Receita MUVX Acumulada]]/Table13[[#This Row],[Investimento Acumulado]]</f>
        <v>0.40768485202226257</v>
      </c>
      <c r="AF11" s="73" t="e">
        <f>Table13[[#This Row],[ROI]]+AF10</f>
        <v>#DIV/0!</v>
      </c>
    </row>
    <row r="12" spans="1:32">
      <c r="A12" s="87">
        <v>46266</v>
      </c>
      <c r="B12" s="61">
        <f t="shared" si="0"/>
        <v>92469.199999999983</v>
      </c>
      <c r="C12" s="61">
        <f t="shared" si="2"/>
        <v>10.209156270981426</v>
      </c>
      <c r="D12" s="62">
        <f>Table13[[#This Row],[Investimento no Mês (Growth ** 40%**]]/Table13[[#This Row],[CPL 
(cadastro)]]</f>
        <v>9057.477184753754</v>
      </c>
      <c r="E12" s="63">
        <v>0.08</v>
      </c>
      <c r="F12" s="62">
        <f>Table13[[#This Row],[Novos Cadastros 
no App Personal]]*Table13[[#This Row],[Tx. % Ativação Personais (Conversão)]]</f>
        <v>724.59817478030038</v>
      </c>
      <c r="G12" s="62">
        <f>Table13[[#This Row],[Novos Personais Ativados]]+G11</f>
        <v>1910.9575786438832</v>
      </c>
      <c r="H12" s="62">
        <f>IFERROR(Table13[[#This Row],[Investimento no Mês (Growth ** 40%**]]/Table13[[#This Row],[Novos Personais Ativados]],0)</f>
        <v>127.61445338726782</v>
      </c>
      <c r="I12" s="66">
        <v>0.02</v>
      </c>
      <c r="J12" s="67">
        <f>Table13[[#This Row],[Personais 
Totais]]*Table13[[#This Row],[Tx. % Churn]]</f>
        <v>38.219151572877664</v>
      </c>
      <c r="K12" s="62">
        <f>Table13[[#This Row],[Personais 
Totais]]-Table13[[#This Row],[Qtde. Churn 
no Mês]]</f>
        <v>1872.7384270710054</v>
      </c>
      <c r="L12" s="68">
        <v>30</v>
      </c>
      <c r="M12" s="61">
        <f t="shared" si="1"/>
        <v>67.589555195718361</v>
      </c>
      <c r="N12" s="76">
        <f t="shared" si="1"/>
        <v>2027.6866558715506</v>
      </c>
      <c r="O12" s="62">
        <f>Table13[[#This Row],[Personais 
Ativos Mês]]+(Table13[[#This Row],[Personais 
Ativos Mês]]*Table13[[#This Row],[Média Alunos Estimada 
Total Personal]])</f>
        <v>58054.891239201163</v>
      </c>
      <c r="P12" s="77">
        <f>Table13[[#This Row],[Média Faturamento
Estimada Personal]]*K11</f>
        <v>2333398.1783134565</v>
      </c>
      <c r="Q12" s="77">
        <f>Table13[[#This Row],[Faturamento Estimado]]*7.5%</f>
        <v>175004.86337350923</v>
      </c>
      <c r="R12" s="71">
        <f>Table13[[#This Row],[Total Usuários Estimado]]*2.99</f>
        <v>173584.1248052115</v>
      </c>
      <c r="S12" s="72">
        <f>Table13[[#This Row],[Média Alunos Estimada 
Total Personal]]-(Table13[[#This Row],[Tx. % Real Alunos 
não ativados]]*Table13[[#This Row],[Média Alunos Estimada 
Total Personal]])</f>
        <v>27</v>
      </c>
      <c r="T12" s="66">
        <v>0.1</v>
      </c>
      <c r="U12" s="14">
        <f>Table13[[#This Row],[Ticket Médio Aluno Personal]]*Table13[[#This Row],[Média Real Alunos 
Ativos Personal]]</f>
        <v>1824.9179902843957</v>
      </c>
      <c r="V12" s="62">
        <f>Table13[[#This Row],[Média Real Alunos 
Ativos Personal]]*Table13[[#This Row],[Personais 
Ativos Mês]]</f>
        <v>50563.937530917145</v>
      </c>
      <c r="W12" s="14">
        <v>3259.22</v>
      </c>
      <c r="X12" s="62"/>
      <c r="Y12" s="14">
        <f>Table13[[#This Row],[Média Real por Personal]]*K11</f>
        <v>2100058.3604821111</v>
      </c>
      <c r="Z12" s="14">
        <f>Table13[[#This Row],[Faturamento 
Real Bruto]]*5%</f>
        <v>105002.91802410556</v>
      </c>
      <c r="AA12" s="14">
        <f>Table13[[#This Row],[Total Real 
Usuários ]]*3.99</f>
        <v>201750.11074835941</v>
      </c>
      <c r="AB12" s="14">
        <f>AB11+Table13[[#This Row],[Faturamento 
Real Bruto]]</f>
        <v>3619320.4226341937</v>
      </c>
      <c r="AC12" s="14">
        <f>AC11+Table13[[#This Row],[Receita 
MUVX (7,5%)]]</f>
        <v>180966.02113170968</v>
      </c>
      <c r="AD12" s="14">
        <f>Table13[[#This Row],[Investimento no Mês (Growth ** 40%**]]+AD11</f>
        <v>278797.19999999995</v>
      </c>
      <c r="AE12" s="73">
        <f>Table13[[#This Row],[Receita MUVX Acumulada]]/Table13[[#This Row],[Investimento Acumulado]]</f>
        <v>0.64909554734304975</v>
      </c>
      <c r="AF12" s="73" t="e">
        <f>Table13[[#This Row],[ROI]]+AF11</f>
        <v>#DIV/0!</v>
      </c>
    </row>
    <row r="13" spans="1:32">
      <c r="A13" s="87">
        <v>46296</v>
      </c>
      <c r="B13" s="61">
        <f t="shared" si="0"/>
        <v>106339.57999999996</v>
      </c>
      <c r="C13" s="61">
        <f t="shared" si="2"/>
        <v>10.004973145561797</v>
      </c>
      <c r="D13" s="62">
        <f>Table13[[#This Row],[Investimento no Mês (Growth ** 40%**]]/Table13[[#This Row],[CPL 
(cadastro)]]</f>
        <v>10628.672206598792</v>
      </c>
      <c r="E13" s="63">
        <v>7.0000000000000007E-2</v>
      </c>
      <c r="F13" s="62">
        <f>Table13[[#This Row],[Novos Cadastros 
no App Personal]]*Table13[[#This Row],[Tx. % Ativação Personais (Conversão)]]</f>
        <v>744.00705446191557</v>
      </c>
      <c r="G13" s="62">
        <f>Table13[[#This Row],[Novos Personais Ativados]]+G12</f>
        <v>2654.9646331057988</v>
      </c>
      <c r="H13" s="62">
        <f>IFERROR(Table13[[#This Row],[Investimento no Mês (Growth ** 40%**]]/Table13[[#This Row],[Novos Personais Ativados]],0)</f>
        <v>142.92818779373994</v>
      </c>
      <c r="I13" s="66">
        <v>0.03</v>
      </c>
      <c r="J13" s="67">
        <f>Table13[[#This Row],[Personais 
Totais]]*Table13[[#This Row],[Tx. % Churn]]</f>
        <v>79.648938993173957</v>
      </c>
      <c r="K13" s="62">
        <f>Table13[[#This Row],[Personais 
Totais]]-Table13[[#This Row],[Qtde. Churn 
no Mês]]</f>
        <v>2575.3156941126249</v>
      </c>
      <c r="L13" s="68">
        <v>30</v>
      </c>
      <c r="M13" s="61">
        <f t="shared" si="1"/>
        <v>68.603398523654135</v>
      </c>
      <c r="N13" s="76">
        <f t="shared" si="1"/>
        <v>2058.1019557096238</v>
      </c>
      <c r="O13" s="62">
        <f>Table13[[#This Row],[Personais 
Ativos Mês]]+(Table13[[#This Row],[Personais 
Ativos Mês]]*Table13[[#This Row],[Média Alunos Estimada 
Total Personal]])</f>
        <v>79834.786517491375</v>
      </c>
      <c r="P13" s="77">
        <f>Table13[[#This Row],[Média Faturamento
Estimada Personal]]*K12</f>
        <v>3854286.619287401</v>
      </c>
      <c r="Q13" s="77">
        <f>Table13[[#This Row],[Faturamento Estimado]]*7.5%</f>
        <v>289071.49644655507</v>
      </c>
      <c r="R13" s="71">
        <f>Table13[[#This Row],[Total Usuários Estimado]]*2.99</f>
        <v>238706.01168729924</v>
      </c>
      <c r="S13" s="72">
        <f>Table13[[#This Row],[Média Alunos Estimada 
Total Personal]]-(Table13[[#This Row],[Tx. % Real Alunos 
não ativados]]*Table13[[#This Row],[Média Alunos Estimada 
Total Personal]])</f>
        <v>27</v>
      </c>
      <c r="T13" s="66">
        <v>0.1</v>
      </c>
      <c r="U13" s="14">
        <f>Table13[[#This Row],[Ticket Médio Aluno Personal]]*Table13[[#This Row],[Média Real Alunos 
Ativos Personal]]</f>
        <v>1852.2917601386616</v>
      </c>
      <c r="V13" s="62">
        <f>Table13[[#This Row],[Média Real Alunos 
Ativos Personal]]*Table13[[#This Row],[Personais 
Ativos Mês]]</f>
        <v>69533.523741040874</v>
      </c>
      <c r="W13" s="14">
        <v>3862.91</v>
      </c>
      <c r="X13" s="62"/>
      <c r="Y13" s="14">
        <f>Table13[[#This Row],[Média Real por Personal]]*K12</f>
        <v>3468857.9573586611</v>
      </c>
      <c r="Z13" s="14">
        <f>Table13[[#This Row],[Faturamento 
Real Bruto]]*5%</f>
        <v>173442.89786793306</v>
      </c>
      <c r="AA13" s="14">
        <f>Table13[[#This Row],[Total Real 
Usuários ]]*3.99</f>
        <v>277438.75972675311</v>
      </c>
      <c r="AB13" s="14">
        <f>AB12+Table13[[#This Row],[Faturamento 
Real Bruto]]</f>
        <v>7088178.3799928548</v>
      </c>
      <c r="AC13" s="14">
        <f>AC12+Table13[[#This Row],[Receita 
MUVX (7,5%)]]</f>
        <v>354408.91899964272</v>
      </c>
      <c r="AD13" s="14">
        <f>Table13[[#This Row],[Investimento no Mês (Growth ** 40%**]]+AD12</f>
        <v>385136.77999999991</v>
      </c>
      <c r="AE13" s="73">
        <f>Table13[[#This Row],[Receita MUVX Acumulada]]/Table13[[#This Row],[Investimento Acumulado]]</f>
        <v>0.92021571920407808</v>
      </c>
      <c r="AF13" s="73" t="e">
        <f>Table13[[#This Row],[ROI]]+AF12</f>
        <v>#DIV/0!</v>
      </c>
    </row>
    <row r="14" spans="1:32">
      <c r="A14" s="87">
        <v>46327</v>
      </c>
      <c r="B14" s="61">
        <f t="shared" si="0"/>
        <v>122290.51699999995</v>
      </c>
      <c r="C14" s="61">
        <f t="shared" si="2"/>
        <v>9.8048736826505607</v>
      </c>
      <c r="D14" s="62">
        <f>Table13[[#This Row],[Investimento no Mês (Growth ** 40%**]]/Table13[[#This Row],[CPL 
(cadastro)]]</f>
        <v>12472.421466927153</v>
      </c>
      <c r="E14" s="63">
        <v>0.1</v>
      </c>
      <c r="F14" s="62">
        <f>Table13[[#This Row],[Novos Cadastros 
no App Personal]]*Table13[[#This Row],[Tx. % Ativação Personais (Conversão)]]</f>
        <v>1247.2421466927153</v>
      </c>
      <c r="G14" s="62">
        <f>Table13[[#This Row],[Novos Personais Ativados]]+G13</f>
        <v>3902.2067797985142</v>
      </c>
      <c r="H14" s="62">
        <f>IFERROR(Table13[[#This Row],[Investimento no Mês (Growth ** 40%**]]/Table13[[#This Row],[Novos Personais Ativados]],0)</f>
        <v>98.048736826505603</v>
      </c>
      <c r="I14" s="66">
        <v>0.03</v>
      </c>
      <c r="J14" s="67">
        <f>Table13[[#This Row],[Personais 
Totais]]*Table13[[#This Row],[Tx. % Churn]]</f>
        <v>117.06620339395542</v>
      </c>
      <c r="K14" s="62">
        <f>Table13[[#This Row],[Personais 
Totais]]-Table13[[#This Row],[Qtde. Churn 
no Mês]]</f>
        <v>3785.1405764045589</v>
      </c>
      <c r="L14" s="68">
        <v>30</v>
      </c>
      <c r="M14" s="61">
        <f t="shared" si="1"/>
        <v>69.632449501508944</v>
      </c>
      <c r="N14" s="76">
        <f t="shared" si="1"/>
        <v>2088.9734850452678</v>
      </c>
      <c r="O14" s="62">
        <f>Table13[[#This Row],[Personais 
Ativos Mês]]+(Table13[[#This Row],[Personais 
Ativos Mês]]*Table13[[#This Row],[Média Alunos Estimada 
Total Personal]])</f>
        <v>117339.35786854134</v>
      </c>
      <c r="P14" s="77">
        <f>Table13[[#This Row],[Média Faturamento
Estimada Personal]]*K13</f>
        <v>5379766.2006222233</v>
      </c>
      <c r="Q14" s="77">
        <f>Table13[[#This Row],[Faturamento Estimado]]*7.5%</f>
        <v>403482.46504666674</v>
      </c>
      <c r="R14" s="71">
        <f>Table13[[#This Row],[Total Usuários Estimado]]*2.99</f>
        <v>350844.68002693861</v>
      </c>
      <c r="S14" s="72">
        <f>Table13[[#This Row],[Média Alunos Estimada 
Total Personal]]-(Table13[[#This Row],[Tx. % Real Alunos 
não ativados]]*Table13[[#This Row],[Média Alunos Estimada 
Total Personal]])</f>
        <v>27</v>
      </c>
      <c r="T14" s="66">
        <v>0.1</v>
      </c>
      <c r="U14" s="14">
        <f>Table13[[#This Row],[Ticket Médio Aluno Personal]]*Table13[[#This Row],[Média Real Alunos 
Ativos Personal]]</f>
        <v>1880.0761365407416</v>
      </c>
      <c r="V14" s="62">
        <f>Table13[[#This Row],[Média Real Alunos 
Ativos Personal]]*Table13[[#This Row],[Personais 
Ativos Mês]]</f>
        <v>102198.79556292309</v>
      </c>
      <c r="W14" s="14">
        <v>4572.01</v>
      </c>
      <c r="X14" s="62"/>
      <c r="Y14" s="14">
        <f>Table13[[#This Row],[Média Real por Personal]]*K13</f>
        <v>4841789.5805600025</v>
      </c>
      <c r="Z14" s="14">
        <f>Table13[[#This Row],[Faturamento 
Real Bruto]]*5%</f>
        <v>242089.47902800015</v>
      </c>
      <c r="AA14" s="14">
        <f>Table13[[#This Row],[Total Real 
Usuários ]]*3.99</f>
        <v>407773.19429606316</v>
      </c>
      <c r="AB14" s="14">
        <f>AB13+Table13[[#This Row],[Faturamento 
Real Bruto]]</f>
        <v>11929967.960552856</v>
      </c>
      <c r="AC14" s="14">
        <f>AC13+Table13[[#This Row],[Receita 
MUVX (7,5%)]]</f>
        <v>596498.39802764286</v>
      </c>
      <c r="AD14" s="14">
        <f>Table13[[#This Row],[Investimento no Mês (Growth ** 40%**]]+AD13</f>
        <v>507427.29699999985</v>
      </c>
      <c r="AE14" s="73">
        <f>Table13[[#This Row],[Receita MUVX Acumulada]]/Table13[[#This Row],[Investimento Acumulado]]</f>
        <v>1.1755347052755087</v>
      </c>
      <c r="AF14" s="73" t="e">
        <f>Table13[[#This Row],[ROI]]+AF13</f>
        <v>#DIV/0!</v>
      </c>
    </row>
    <row r="15" spans="1:32">
      <c r="A15" s="87">
        <v>46357</v>
      </c>
      <c r="B15" s="61">
        <f t="shared" si="0"/>
        <v>140634.09454999992</v>
      </c>
      <c r="C15" s="61">
        <f t="shared" si="2"/>
        <v>9.6087762089975488</v>
      </c>
      <c r="D15" s="62">
        <f>Table13[[#This Row],[Investimento no Mês (Growth ** 40%**]]/Table13[[#This Row],[CPL 
(cadastro)]]</f>
        <v>14636.004782618598</v>
      </c>
      <c r="E15" s="63">
        <v>0.04</v>
      </c>
      <c r="F15" s="62">
        <f>Table13[[#This Row],[Novos Cadastros 
no App Personal]]*Table13[[#This Row],[Tx. % Ativação Personais (Conversão)]]</f>
        <v>585.44019130474396</v>
      </c>
      <c r="G15" s="62">
        <f>Table13[[#This Row],[Novos Personais Ativados]]+G14</f>
        <v>4487.6469711032578</v>
      </c>
      <c r="H15" s="62">
        <f>IFERROR(Table13[[#This Row],[Investimento no Mês (Growth ** 40%**]]/Table13[[#This Row],[Novos Personais Ativados]],0)</f>
        <v>240.2194052249387</v>
      </c>
      <c r="I15" s="66">
        <v>0.1</v>
      </c>
      <c r="J15" s="67">
        <f>Table13[[#This Row],[Personais 
Totais]]*Table13[[#This Row],[Tx. % Churn]]</f>
        <v>448.76469711032581</v>
      </c>
      <c r="K15" s="62">
        <f>Table13[[#This Row],[Personais 
Totais]]-Table13[[#This Row],[Qtde. Churn 
no Mês]]</f>
        <v>4038.8822739929319</v>
      </c>
      <c r="L15" s="68">
        <v>30</v>
      </c>
      <c r="M15" s="61">
        <f t="shared" si="1"/>
        <v>70.676936244031566</v>
      </c>
      <c r="N15" s="76">
        <f t="shared" si="1"/>
        <v>2120.3080873209465</v>
      </c>
      <c r="O15" s="62">
        <f>Table13[[#This Row],[Personais 
Ativos Mês]]+(Table13[[#This Row],[Personais 
Ativos Mês]]*Table13[[#This Row],[Média Alunos Estimada 
Total Personal]])</f>
        <v>125205.35049378089</v>
      </c>
      <c r="P15" s="77">
        <f>Table13[[#This Row],[Média Faturamento
Estimada Personal]]*K14</f>
        <v>8025664.1757972548</v>
      </c>
      <c r="Q15" s="77">
        <f>Table13[[#This Row],[Faturamento Estimado]]*7.5%</f>
        <v>601924.81318479404</v>
      </c>
      <c r="R15" s="71">
        <f>Table13[[#This Row],[Total Usuários Estimado]]*2.99</f>
        <v>374363.99797640491</v>
      </c>
      <c r="S15" s="72">
        <f>Table13[[#This Row],[Média Alunos Estimada 
Total Personal]]-(Table13[[#This Row],[Tx. % Real Alunos 
não ativados]]*Table13[[#This Row],[Média Alunos Estimada 
Total Personal]])</f>
        <v>27</v>
      </c>
      <c r="T15" s="66">
        <v>0.1</v>
      </c>
      <c r="U15" s="14">
        <f>Table13[[#This Row],[Ticket Médio Aluno Personal]]*Table13[[#This Row],[Média Real Alunos 
Ativos Personal]]</f>
        <v>1908.2772785888524</v>
      </c>
      <c r="V15" s="62">
        <f>Table13[[#This Row],[Média Real Alunos 
Ativos Personal]]*Table13[[#This Row],[Personais 
Ativos Mês]]</f>
        <v>109049.82139780917</v>
      </c>
      <c r="W15" s="14">
        <v>4926.63</v>
      </c>
      <c r="X15" s="62"/>
      <c r="Y15" s="14">
        <f>Table13[[#This Row],[Média Real por Personal]]*K14</f>
        <v>7223097.7582175322</v>
      </c>
      <c r="Z15" s="14">
        <f>Table13[[#This Row],[Faturamento 
Real Bruto]]*5%</f>
        <v>361154.88791087666</v>
      </c>
      <c r="AA15" s="14">
        <f>Table13[[#This Row],[Total Real 
Usuários ]]*3.99</f>
        <v>435108.78737725859</v>
      </c>
      <c r="AB15" s="14">
        <f>AB14+Table13[[#This Row],[Faturamento 
Real Bruto]]</f>
        <v>19153065.718770389</v>
      </c>
      <c r="AC15" s="14">
        <f>AC14+Table13[[#This Row],[Receita 
MUVX (7,5%)]]</f>
        <v>957653.28593851952</v>
      </c>
      <c r="AD15" s="14">
        <f>Table13[[#This Row],[Investimento no Mês (Growth ** 40%**]]+AD14</f>
        <v>648061.39154999983</v>
      </c>
      <c r="AE15" s="73">
        <f>Table13[[#This Row],[Receita MUVX Acumulada]]/Table13[[#This Row],[Investimento Acumulado]]</f>
        <v>1.4777200099022312</v>
      </c>
      <c r="AF15" s="73" t="e">
        <f>Table13[[#This Row],[ROI]]+AF14</f>
        <v>#DIV/0!</v>
      </c>
    </row>
    <row r="16" spans="1:32" s="86" customFormat="1">
      <c r="A16" s="79"/>
      <c r="B16" s="80">
        <f>SUBTOTAL(109,B2:B15)</f>
        <v>648061.39154999983</v>
      </c>
      <c r="C16" s="80">
        <f>SUBTOTAL(101,C2:C15)</f>
        <v>14.226426125651425</v>
      </c>
      <c r="D16" s="81">
        <f>SUBTOTAL(109,D2:D15)</f>
        <v>64351.124475410907</v>
      </c>
      <c r="E16" s="82">
        <f>SUBTOTAL(101,E5:E15)</f>
        <v>6.1818181818181821E-2</v>
      </c>
      <c r="F16" s="83">
        <f>SUBTOTAL(109,F2:F15)</f>
        <v>4487.6469711032578</v>
      </c>
      <c r="G16" s="83">
        <f>AVERAGE(G2:G15)</f>
        <v>1072.906836019592</v>
      </c>
      <c r="H16" s="83">
        <f>Table13[[#This Row],[Investimento no Mês (Growth ** 40%**]]/Table13[[#This Row],[Novos Personais Ativados]]</f>
        <v>144.41006516844578</v>
      </c>
      <c r="I16" s="84">
        <f>SUBTOTAL(101,I2:I15)</f>
        <v>3.3571428571428578E-2</v>
      </c>
      <c r="J16" s="83">
        <f>SUBTOTAL(109,J2:J15)</f>
        <v>746.00985348869085</v>
      </c>
      <c r="K16" s="83">
        <f>K15</f>
        <v>4038.8822739929319</v>
      </c>
      <c r="L16" s="83">
        <f>AVERAGE(L2:L15)</f>
        <v>30</v>
      </c>
      <c r="M16" s="85">
        <f>Table13[[#This Row],[Média Faturamento
Estimada Personal]]/Table13[[#This Row],[Média Alunos Estimada 
Total Personal]]</f>
        <v>60.190206603549285</v>
      </c>
      <c r="N16" s="80">
        <f>SUBTOTAL(101,N2:N15)</f>
        <v>1805.7061981064785</v>
      </c>
      <c r="O16" s="83">
        <f>Table13[[#This Row],[Personais 
Ativos Mês]]+(Table13[[#This Row],[Personais 
Ativos Mês]]*Table13[[#This Row],[Média Alunos Estimada 
Total Personal]])</f>
        <v>125205.35049378089</v>
      </c>
      <c r="P16" s="85">
        <f>SUBTOTAL(109,P2:P15)</f>
        <v>21281184.131967094</v>
      </c>
      <c r="Q16" s="85">
        <f>Table13[[#This Row],[Faturamento Estimado]]*5%</f>
        <v>1064059.2065983547</v>
      </c>
      <c r="R16" s="85">
        <f>SUM(R4:R15)</f>
        <v>1323120.6315093169</v>
      </c>
      <c r="S16" s="83">
        <f>Table13[[#This Row],[Média Alunos Estimada 
Total Personal]]-(Table13[[#This Row],[Tx. % Real Alunos 
não ativados]]*Table13[[#This Row],[Média Alunos Estimada 
Total Personal]])</f>
        <v>30</v>
      </c>
      <c r="T16" s="83"/>
      <c r="U16" s="85">
        <f>AVERAGE(U4:U15)</f>
        <v>1617.9817931538162</v>
      </c>
      <c r="V16" s="62"/>
      <c r="W16" s="62"/>
      <c r="X16" s="62"/>
      <c r="Y16" s="80">
        <f>SUBTOTAL(109,Y2:Y15)</f>
        <v>19153065.718770389</v>
      </c>
      <c r="Z16" s="80">
        <f>SUBTOTAL(109,Z2:Z15)</f>
        <v>957653.28593851952</v>
      </c>
      <c r="AA16" s="80">
        <f>SUM(AA4:AA15)</f>
        <v>1537577.5918363275</v>
      </c>
      <c r="AB16" s="80"/>
    </row>
    <row r="17" spans="1:32">
      <c r="A17" s="87"/>
      <c r="D17" s="15"/>
      <c r="E17" s="15"/>
      <c r="H17" s="62"/>
      <c r="M17" s="15"/>
      <c r="O17" s="15"/>
      <c r="P17" s="15"/>
      <c r="Q17" s="15"/>
      <c r="R17" s="15">
        <f>Table13[[#This Row],[Total Usuários Estimado]]*1.99</f>
        <v>0</v>
      </c>
      <c r="S17" s="62"/>
      <c r="V17" s="83"/>
      <c r="W17" s="83"/>
      <c r="X17" s="83"/>
      <c r="AA17" s="15"/>
    </row>
    <row r="18" spans="1:32">
      <c r="A18" s="87"/>
      <c r="D18" s="15"/>
      <c r="E18" s="89"/>
      <c r="F18" s="90"/>
      <c r="H18" s="62"/>
      <c r="J18" s="89" t="s">
        <v>253</v>
      </c>
      <c r="K18" s="90">
        <f>K16/130000</f>
        <v>3.1068325184561013E-2</v>
      </c>
      <c r="M18" s="15"/>
      <c r="O18" s="15"/>
      <c r="P18" s="15"/>
      <c r="Q18" s="15"/>
      <c r="R18" s="15">
        <f>Table13[[#This Row],[Total Usuários Estimado]]*1.99</f>
        <v>0</v>
      </c>
      <c r="S18" s="62"/>
      <c r="V18" s="62"/>
      <c r="W18" s="62"/>
      <c r="X18" s="62"/>
      <c r="Y18" s="93" t="s">
        <v>275</v>
      </c>
      <c r="Z18" s="89">
        <f>Z16*30%</f>
        <v>287295.98578155582</v>
      </c>
      <c r="AA18" s="89">
        <f>Table13[[#This Row],[Total Real 
Usuários ]]*0.199</f>
        <v>0</v>
      </c>
    </row>
    <row r="19" spans="1:32">
      <c r="A19" s="87"/>
    </row>
    <row r="20" spans="1:32">
      <c r="A20" s="87"/>
    </row>
    <row r="21" spans="1:32" s="59" customFormat="1" ht="54" customHeight="1">
      <c r="A21" s="54" t="s">
        <v>219</v>
      </c>
      <c r="B21" s="54" t="s">
        <v>276</v>
      </c>
      <c r="C21" s="54" t="s">
        <v>255</v>
      </c>
      <c r="D21" s="54" t="s">
        <v>265</v>
      </c>
      <c r="E21" s="54" t="s">
        <v>266</v>
      </c>
      <c r="F21" s="54" t="s">
        <v>230</v>
      </c>
      <c r="G21" s="54" t="s">
        <v>231</v>
      </c>
      <c r="H21" s="54" t="s">
        <v>267</v>
      </c>
      <c r="I21" s="54" t="s">
        <v>233</v>
      </c>
      <c r="J21" s="54" t="s">
        <v>234</v>
      </c>
      <c r="K21" s="54" t="s">
        <v>235</v>
      </c>
      <c r="L21" s="54" t="s">
        <v>236</v>
      </c>
      <c r="M21" s="54" t="s">
        <v>237</v>
      </c>
      <c r="N21" s="54" t="s">
        <v>238</v>
      </c>
      <c r="O21" s="54" t="s">
        <v>239</v>
      </c>
      <c r="P21" s="54" t="s">
        <v>240</v>
      </c>
      <c r="Q21" s="54" t="s">
        <v>277</v>
      </c>
      <c r="R21" s="54" t="s">
        <v>269</v>
      </c>
      <c r="S21" s="55" t="s">
        <v>242</v>
      </c>
      <c r="T21" s="55" t="s">
        <v>243</v>
      </c>
      <c r="U21" s="55" t="s">
        <v>244</v>
      </c>
      <c r="V21" s="55" t="s">
        <v>245</v>
      </c>
      <c r="W21" s="55" t="s">
        <v>270</v>
      </c>
      <c r="X21" s="55" t="s">
        <v>271</v>
      </c>
      <c r="Y21" s="55" t="s">
        <v>246</v>
      </c>
      <c r="Z21" s="55" t="s">
        <v>272</v>
      </c>
      <c r="AA21" s="55" t="s">
        <v>273</v>
      </c>
      <c r="AB21" s="55" t="s">
        <v>248</v>
      </c>
      <c r="AC21" s="58" t="s">
        <v>249</v>
      </c>
      <c r="AD21" s="58" t="s">
        <v>250</v>
      </c>
      <c r="AE21" s="54" t="s">
        <v>251</v>
      </c>
      <c r="AF21" s="54" t="s">
        <v>252</v>
      </c>
    </row>
    <row r="22" spans="1:32">
      <c r="A22" s="87">
        <v>45962</v>
      </c>
      <c r="B22" s="61">
        <v>0</v>
      </c>
      <c r="C22" s="61">
        <v>25</v>
      </c>
      <c r="D22" s="62">
        <f>Table137[[#This Row],[Investimento no Mês (Growth) ** 50%**]]/Table137[[#This Row],[CPL 
(cadastro)]]</f>
        <v>0</v>
      </c>
      <c r="E22" s="63">
        <v>0</v>
      </c>
      <c r="F22" s="62">
        <f>Table137[[#This Row],[Novos Cadastros 
no App Personal]]*Table137[[#This Row],[Tx. % Ativação Personais (Conversão)]]</f>
        <v>0</v>
      </c>
      <c r="G22" s="62">
        <f>Table137[[#This Row],[Novos Personais Ativados]]</f>
        <v>0</v>
      </c>
      <c r="H22" s="62">
        <f>IFERROR(Table137[[#This Row],[Investimento no Mês (Growth) ** 50%**]]/Table137[[#This Row],[Novos Personais Ativados]],0)</f>
        <v>0</v>
      </c>
      <c r="I22" s="66">
        <v>0</v>
      </c>
      <c r="J22" s="67">
        <f>Table137[[#This Row],[Personais 
Totais]]*Table137[[#This Row],[Tx. % Churn]]</f>
        <v>0</v>
      </c>
      <c r="K22" s="62">
        <f>Table137[[#This Row],[Personais 
Totais]]-Table137[[#This Row],[Qtde. Churn 
no Mês]]</f>
        <v>0</v>
      </c>
      <c r="L22" s="68"/>
      <c r="M22" s="69" t="s">
        <v>274</v>
      </c>
      <c r="N22" s="70" t="s">
        <v>274</v>
      </c>
      <c r="O22" s="62">
        <f>Table137[[#This Row],[Personais 
Ativos Mês]]+(Table137[[#This Row],[Personais 
Ativos Mês]]*Table137[[#This Row],[Média Alunos Estimada 
Total Personal]])</f>
        <v>0</v>
      </c>
      <c r="P22" s="71" t="s">
        <v>274</v>
      </c>
      <c r="Q22" s="71" t="s">
        <v>274</v>
      </c>
      <c r="R22" s="71">
        <f>Table137[[#This Row],[Total Usuários Estimado]]*2.99</f>
        <v>0</v>
      </c>
      <c r="S22" s="72">
        <f>Table137[[#This Row],[Média Alunos Estimada 
Total Personal]]-(Table137[[#This Row],[Tx. % Real Alunos 
não ativados]]*Table137[[#This Row],[Média Alunos Estimada 
Total Personal]])</f>
        <v>0</v>
      </c>
      <c r="T22" s="66">
        <v>0.54</v>
      </c>
      <c r="U22" s="14" t="e">
        <f>Y22/K22</f>
        <v>#DIV/0!</v>
      </c>
      <c r="V22" s="62">
        <f>Table137[[#This Row],[Média Real Alunos 
Ativos Personal]]*Table137[[#This Row],[Personais 
Ativos Mês]]</f>
        <v>0</v>
      </c>
      <c r="W22" s="14">
        <v>390.06</v>
      </c>
      <c r="X22" s="62"/>
      <c r="Y22" s="14">
        <v>0</v>
      </c>
      <c r="Z22" s="14">
        <v>0</v>
      </c>
      <c r="AA22" s="14">
        <f>Table137[[#This Row],[Total Real 
Usuários ]]*3.99</f>
        <v>0</v>
      </c>
      <c r="AB22" s="14">
        <f>Table137[[#This Row],[Faturamento 
Real Bruto]]</f>
        <v>0</v>
      </c>
      <c r="AC22" s="14">
        <v>0</v>
      </c>
      <c r="AD22" s="14">
        <f>Table137[[#This Row],[Investimento no Mês (Growth) ** 50%**]]</f>
        <v>0</v>
      </c>
      <c r="AE22" s="73">
        <v>0</v>
      </c>
      <c r="AF22" s="74">
        <v>0</v>
      </c>
    </row>
    <row r="23" spans="1:32">
      <c r="A23" s="87">
        <v>45992</v>
      </c>
      <c r="B23" s="61">
        <v>0</v>
      </c>
      <c r="C23" s="61">
        <v>60</v>
      </c>
      <c r="D23" s="62">
        <f>Table137[[#This Row],[Investimento no Mês (Growth) ** 50%**]]/Table137[[#This Row],[CPL 
(cadastro)]]</f>
        <v>0</v>
      </c>
      <c r="E23" s="63">
        <v>0</v>
      </c>
      <c r="F23" s="62">
        <f>Table137[[#This Row],[Novos Cadastros 
no App Personal]]*Table137[[#This Row],[Tx. % Ativação Personais (Conversão)]]</f>
        <v>0</v>
      </c>
      <c r="G23" s="62">
        <f>Table137[[#This Row],[Novos Personais Ativados]]+G22</f>
        <v>0</v>
      </c>
      <c r="H23" s="62">
        <f>IFERROR(Table137[[#This Row],[Investimento no Mês (Growth) ** 50%**]]/Table137[[#This Row],[Novos Personais Ativados]],0)</f>
        <v>0</v>
      </c>
      <c r="I23" s="66">
        <v>0</v>
      </c>
      <c r="J23" s="67">
        <f>Table137[[#This Row],[Personais 
Totais]]*Table137[[#This Row],[Tx. % Churn]]</f>
        <v>0</v>
      </c>
      <c r="K23" s="62">
        <f>Table137[[#This Row],[Personais 
Totais]]-Table137[[#This Row],[Qtde. Churn 
no Mês]]</f>
        <v>0</v>
      </c>
      <c r="L23" s="68"/>
      <c r="M23" s="61">
        <v>0</v>
      </c>
      <c r="N23" s="76">
        <f>Table137[[#This Row],[Média Alunos Estimada 
Total Personal]]*Table137[[#This Row],[Ticket Médio Aluno Personal]]</f>
        <v>0</v>
      </c>
      <c r="O23" s="62">
        <f>Table137[[#This Row],[Personais 
Ativos Mês]]+(Table137[[#This Row],[Personais 
Ativos Mês]]*Table137[[#This Row],[Média Alunos Estimada 
Total Personal]])</f>
        <v>0</v>
      </c>
      <c r="P23" s="77">
        <f>Table137[[#This Row],[Média Faturamento
Estimada Personal]]*K22</f>
        <v>0</v>
      </c>
      <c r="Q23" s="77">
        <f>Table137[[#This Row],[Faturamento Estimado]]*7.5%</f>
        <v>0</v>
      </c>
      <c r="R23" s="71">
        <f>Table137[[#This Row],[Total Usuários Estimado]]*2.99</f>
        <v>0</v>
      </c>
      <c r="S23" s="72">
        <f>Table137[[#This Row],[Média Alunos Estimada 
Total Personal]]-(Table137[[#This Row],[Tx. % Real Alunos 
não ativados]]*Table137[[#This Row],[Média Alunos Estimada 
Total Personal]])</f>
        <v>0</v>
      </c>
      <c r="T23" s="66">
        <v>0.54</v>
      </c>
      <c r="U23" s="14">
        <f>Table137[[#This Row],[Ticket Médio Aluno Personal]]*Table137[[#This Row],[Média Real Alunos 
Ativos Personal]]</f>
        <v>0</v>
      </c>
      <c r="V23" s="62">
        <f>Table137[[#This Row],[Média Real Alunos 
Ativos Personal]]*Table137[[#This Row],[Personais 
Ativos Mês]]</f>
        <v>0</v>
      </c>
      <c r="W23" s="14">
        <v>499.27</v>
      </c>
      <c r="X23" s="62"/>
      <c r="Y23" s="14">
        <f>Table137[[#This Row],[Média Real por Personal]]*K22</f>
        <v>0</v>
      </c>
      <c r="Z23" s="14">
        <f>Table137[[#This Row],[Faturamento 
Real Bruto]]*5%</f>
        <v>0</v>
      </c>
      <c r="AA23" s="14">
        <f>Table137[[#This Row],[Total Real 
Usuários ]]*3.99</f>
        <v>0</v>
      </c>
      <c r="AB23" s="14">
        <f>Table137[[#This Row],[Faturamento 
Real Bruto]]+Y22</f>
        <v>0</v>
      </c>
      <c r="AC23" s="14">
        <f>Table137[[#This Row],[Receita 
MUVX (7,5%)]]+Z22</f>
        <v>0</v>
      </c>
      <c r="AD23" s="14">
        <f>Table137[[#This Row],[Investimento no Mês (Growth) ** 50%**]]+AD22</f>
        <v>0</v>
      </c>
      <c r="AE23" s="73" t="e">
        <f>Table137[[#This Row],[Receita MUVX Acumulada]]/Table137[[#This Row],[Investimento Acumulado]]</f>
        <v>#DIV/0!</v>
      </c>
      <c r="AF23" s="73" t="e">
        <f>Table137[[#This Row],[ROI]]+AF22</f>
        <v>#DIV/0!</v>
      </c>
    </row>
    <row r="24" spans="1:32">
      <c r="A24" s="87">
        <v>46023</v>
      </c>
      <c r="B24" s="61">
        <f>B62*0.5</f>
        <v>0</v>
      </c>
      <c r="C24" s="61">
        <v>12</v>
      </c>
      <c r="D24" s="62">
        <f>Table137[[#This Row],[Investimento no Mês (Growth) ** 50%**]]/Table137[[#This Row],[CPL 
(cadastro)]]</f>
        <v>0</v>
      </c>
      <c r="E24" s="63">
        <v>0</v>
      </c>
      <c r="F24" s="62">
        <f>Table137[[#This Row],[Novos Cadastros 
no App Personal]]*Table137[[#This Row],[Tx. % Ativação Personais (Conversão)]]</f>
        <v>0</v>
      </c>
      <c r="G24" s="62">
        <f>Table137[[#This Row],[Novos Personais Ativados]]+G23</f>
        <v>0</v>
      </c>
      <c r="H24" s="62">
        <f>IFERROR(Table137[[#This Row],[Investimento no Mês (Growth) ** 50%**]]/Table137[[#This Row],[Novos Personais Ativados]],0)</f>
        <v>0</v>
      </c>
      <c r="I24" s="66">
        <v>0</v>
      </c>
      <c r="J24" s="67">
        <f>Table137[[#This Row],[Personais 
Totais]]*Table137[[#This Row],[Tx. % Churn]]</f>
        <v>0</v>
      </c>
      <c r="K24" s="62">
        <f>Table137[[#This Row],[Personais 
Totais]]-Table137[[#This Row],[Qtde. Churn 
no Mês]]</f>
        <v>0</v>
      </c>
      <c r="L24" s="68">
        <v>50</v>
      </c>
      <c r="M24" s="61">
        <v>100</v>
      </c>
      <c r="N24" s="76">
        <f>Table137[[#This Row],[Média Alunos Estimada 
Total Personal]]*Table137[[#This Row],[Ticket Médio Aluno Personal]]</f>
        <v>5000</v>
      </c>
      <c r="O24" s="62">
        <v>0</v>
      </c>
      <c r="P24" s="77">
        <f>Table137[[#This Row],[Média Faturamento
Estimada Personal]]*K23</f>
        <v>0</v>
      </c>
      <c r="Q24" s="77">
        <f>Table137[[#This Row],[Faturamento Estimado]]*7.5%</f>
        <v>0</v>
      </c>
      <c r="R24" s="71">
        <f>Table137[[#This Row],[Total Usuários Estimado]]*2.99</f>
        <v>0</v>
      </c>
      <c r="S24" s="72">
        <f>Table137[[#This Row],[Média Alunos Estimada 
Total Personal]]-(Table137[[#This Row],[Tx. % Real Alunos 
não ativados]]*Table137[[#This Row],[Média Alunos Estimada 
Total Personal]])</f>
        <v>23</v>
      </c>
      <c r="T24" s="66">
        <v>0.54</v>
      </c>
      <c r="U24" s="14">
        <f>Table137[[#This Row],[Ticket Médio Aluno Personal]]*Table137[[#This Row],[Média Real Alunos 
Ativos Personal]]</f>
        <v>2300</v>
      </c>
      <c r="V24" s="62">
        <v>0</v>
      </c>
      <c r="W24" s="14">
        <v>874.55</v>
      </c>
      <c r="X24" s="62"/>
      <c r="Y24" s="14">
        <f>Table137[[#This Row],[Média Real por Personal]]*K23</f>
        <v>0</v>
      </c>
      <c r="Z24" s="14">
        <f>Table137[[#This Row],[Faturamento 
Real Bruto]]*5%</f>
        <v>0</v>
      </c>
      <c r="AA24" s="14">
        <f>Table137[[#This Row],[Total Real 
Usuários ]]*3.99</f>
        <v>0</v>
      </c>
      <c r="AB24" s="14">
        <f>AB23+Table137[[#This Row],[Faturamento 
Real Bruto]]</f>
        <v>0</v>
      </c>
      <c r="AC24" s="14">
        <f>AC23+Table137[[#This Row],[Receita 
MUVX (7,5%)]]</f>
        <v>0</v>
      </c>
      <c r="AD24" s="14">
        <f>Table137[[#This Row],[Investimento no Mês (Growth) ** 50%**]]+AD23</f>
        <v>0</v>
      </c>
      <c r="AE24" s="73" t="e">
        <f>Table137[[#This Row],[Receita MUVX Acumulada]]/Table137[[#This Row],[Investimento Acumulado]]</f>
        <v>#DIV/0!</v>
      </c>
      <c r="AF24" s="73" t="e">
        <f>Table137[[#This Row],[ROI]]+AF23</f>
        <v>#DIV/0!</v>
      </c>
    </row>
    <row r="25" spans="1:32">
      <c r="A25" s="87">
        <v>46054</v>
      </c>
      <c r="B25" s="61">
        <f t="shared" ref="B25:B35" si="3">B63*0.5</f>
        <v>0</v>
      </c>
      <c r="C25" s="61">
        <f>C24*0.98</f>
        <v>11.76</v>
      </c>
      <c r="D25" s="62">
        <f>Table137[[#This Row],[Investimento no Mês (Growth) ** 50%**]]/Table137[[#This Row],[CPL 
(cadastro)]]</f>
        <v>0</v>
      </c>
      <c r="E25" s="63">
        <v>0.05</v>
      </c>
      <c r="F25" s="62">
        <f>Table137[[#This Row],[Novos Cadastros 
no App Personal]]*Table137[[#This Row],[Tx. % Ativação Personais (Conversão)]]</f>
        <v>0</v>
      </c>
      <c r="G25" s="62">
        <f>Table137[[#This Row],[Novos Personais Ativados]]+G24</f>
        <v>0</v>
      </c>
      <c r="H25" s="62">
        <f>IFERROR(Table137[[#This Row],[Investimento no Mês (Growth) ** 50%**]]/Table137[[#This Row],[Novos Personais Ativados]],0)</f>
        <v>0</v>
      </c>
      <c r="I25" s="66">
        <v>0.04</v>
      </c>
      <c r="J25" s="67">
        <f>Table137[[#This Row],[Personais 
Totais]]*Table137[[#This Row],[Tx. % Churn]]</f>
        <v>0</v>
      </c>
      <c r="K25" s="62">
        <f>Table137[[#This Row],[Personais 
Totais]]-Table137[[#This Row],[Qtde. Churn 
no Mês]]</f>
        <v>0</v>
      </c>
      <c r="L25" s="68">
        <v>50</v>
      </c>
      <c r="M25" s="61">
        <f t="shared" ref="M25:N35" si="4">M24*1.015</f>
        <v>101.49999999999999</v>
      </c>
      <c r="N25" s="76">
        <f t="shared" si="4"/>
        <v>5074.9999999999991</v>
      </c>
      <c r="O25" s="62">
        <v>0</v>
      </c>
      <c r="P25" s="77">
        <f>Table137[[#This Row],[Média Faturamento
Estimada Personal]]*K24</f>
        <v>0</v>
      </c>
      <c r="Q25" s="77">
        <f>Table137[[#This Row],[Faturamento Estimado]]*7.5%</f>
        <v>0</v>
      </c>
      <c r="R25" s="71">
        <f>Table137[[#This Row],[Total Usuários Estimado]]*2.99</f>
        <v>0</v>
      </c>
      <c r="S25" s="72">
        <f>Table137[[#This Row],[Média Alunos Estimada 
Total Personal]]-(Table137[[#This Row],[Tx. % Real Alunos 
não ativados]]*Table137[[#This Row],[Média Alunos Estimada 
Total Personal]])</f>
        <v>30</v>
      </c>
      <c r="T25" s="66">
        <v>0.4</v>
      </c>
      <c r="U25" s="14">
        <f>Table137[[#This Row],[Ticket Médio Aluno Personal]]*Table137[[#This Row],[Média Real Alunos 
Ativos Personal]]</f>
        <v>3044.9999999999995</v>
      </c>
      <c r="V25" s="62">
        <f>Table137[[#This Row],[Média Real Alunos 
Ativos Personal]]*Table137[[#This Row],[Personais 
Ativos Mês]]</f>
        <v>0</v>
      </c>
      <c r="W25" s="14">
        <v>1030.71</v>
      </c>
      <c r="X25" s="62"/>
      <c r="Y25" s="14">
        <f>Table137[[#This Row],[Média Real por Personal]]*K24</f>
        <v>0</v>
      </c>
      <c r="Z25" s="14">
        <f>Table137[[#This Row],[Faturamento 
Real Bruto]]*5%</f>
        <v>0</v>
      </c>
      <c r="AA25" s="14">
        <f>Table137[[#This Row],[Total Real 
Usuários ]]*3.99</f>
        <v>0</v>
      </c>
      <c r="AB25" s="14">
        <f>AB24+Table137[[#This Row],[Faturamento 
Real Bruto]]</f>
        <v>0</v>
      </c>
      <c r="AC25" s="14">
        <f>AC24+Table137[[#This Row],[Receita 
MUVX (7,5%)]]</f>
        <v>0</v>
      </c>
      <c r="AD25" s="14">
        <f>Table137[[#This Row],[Investimento no Mês (Growth) ** 50%**]]+AD24</f>
        <v>0</v>
      </c>
      <c r="AE25" s="73" t="e">
        <f>Table137[[#This Row],[Receita MUVX Acumulada]]/Table137[[#This Row],[Investimento Acumulado]]</f>
        <v>#DIV/0!</v>
      </c>
      <c r="AF25" s="73" t="e">
        <f>Table137[[#This Row],[ROI]]+AF24</f>
        <v>#DIV/0!</v>
      </c>
    </row>
    <row r="26" spans="1:32">
      <c r="A26" s="87">
        <v>46082</v>
      </c>
      <c r="B26" s="61">
        <f t="shared" si="3"/>
        <v>5000</v>
      </c>
      <c r="C26" s="61">
        <f t="shared" ref="C26:C35" si="5">C25*0.98</f>
        <v>11.524799999999999</v>
      </c>
      <c r="D26" s="62">
        <f>Table137[[#This Row],[Investimento no Mês (Growth) ** 50%**]]/Table137[[#This Row],[CPL 
(cadastro)]]</f>
        <v>433.84700819103153</v>
      </c>
      <c r="E26" s="63">
        <v>0.03</v>
      </c>
      <c r="F26" s="62">
        <f>Table137[[#This Row],[Novos Cadastros 
no App Personal]]*Table137[[#This Row],[Tx. % Ativação Personais (Conversão)]]</f>
        <v>13.015410245730946</v>
      </c>
      <c r="G26" s="62">
        <f>Table137[[#This Row],[Novos Personais Ativados]]+G25</f>
        <v>13.015410245730946</v>
      </c>
      <c r="H26" s="62">
        <f>IFERROR(Table137[[#This Row],[Investimento no Mês (Growth) ** 50%**]]/Table137[[#This Row],[Novos Personais Ativados]],0)</f>
        <v>384.15999999999997</v>
      </c>
      <c r="I26" s="66">
        <v>0.06</v>
      </c>
      <c r="J26" s="67">
        <f>Table137[[#This Row],[Personais 
Totais]]*Table137[[#This Row],[Tx. % Churn]]</f>
        <v>0.78092461474385677</v>
      </c>
      <c r="K26" s="62">
        <f>Table137[[#This Row],[Personais 
Totais]]-Table137[[#This Row],[Qtde. Churn 
no Mês]]</f>
        <v>12.23448563098709</v>
      </c>
      <c r="L26" s="68">
        <v>50</v>
      </c>
      <c r="M26" s="61">
        <f t="shared" si="4"/>
        <v>103.02249999999998</v>
      </c>
      <c r="N26" s="76">
        <f t="shared" si="4"/>
        <v>5151.1249999999982</v>
      </c>
      <c r="O26" s="62">
        <f>Table137[[#This Row],[Personais 
Ativos Mês]]+(Table137[[#This Row],[Personais 
Ativos Mês]]*Table137[[#This Row],[Média Alunos Estimada 
Total Personal]])</f>
        <v>623.95876718034162</v>
      </c>
      <c r="P26" s="77">
        <f>Table137[[#This Row],[Média Faturamento
Estimada Personal]]*K25</f>
        <v>0</v>
      </c>
      <c r="Q26" s="77">
        <f>Table137[[#This Row],[Faturamento Estimado]]*7.5%</f>
        <v>0</v>
      </c>
      <c r="R26" s="71">
        <f>Table137[[#This Row],[Total Usuários Estimado]]*2.99</f>
        <v>1865.6367138692217</v>
      </c>
      <c r="S26" s="72">
        <f>Table137[[#This Row],[Média Alunos Estimada 
Total Personal]]-(Table137[[#This Row],[Tx. % Real Alunos 
não ativados]]*Table137[[#This Row],[Média Alunos Estimada 
Total Personal]])</f>
        <v>35</v>
      </c>
      <c r="T26" s="66">
        <v>0.3</v>
      </c>
      <c r="U26" s="14">
        <f>Table137[[#This Row],[Ticket Médio Aluno Personal]]*Table137[[#This Row],[Média Real Alunos 
Ativos Personal]]</f>
        <v>3605.7874999999995</v>
      </c>
      <c r="V26" s="62">
        <f>Table137[[#This Row],[Média Real Alunos 
Ativos Personal]]*Table137[[#This Row],[Personais 
Ativos Mês]]</f>
        <v>428.20699708454811</v>
      </c>
      <c r="W26" s="14">
        <v>1177.8699999999999</v>
      </c>
      <c r="X26" s="62"/>
      <c r="Y26" s="14">
        <f>Table137[[#This Row],[Média Real por Personal]]*K25</f>
        <v>0</v>
      </c>
      <c r="Z26" s="14">
        <f>Table137[[#This Row],[Faturamento 
Real Bruto]]*5%</f>
        <v>0</v>
      </c>
      <c r="AA26" s="14">
        <f>Table137[[#This Row],[Total Real 
Usuários ]]*3.99</f>
        <v>1708.545918367347</v>
      </c>
      <c r="AB26" s="14">
        <f>AB25+Table137[[#This Row],[Faturamento 
Real Bruto]]</f>
        <v>0</v>
      </c>
      <c r="AC26" s="14">
        <f>AC25+Table137[[#This Row],[Receita 
MUVX (7,5%)]]</f>
        <v>0</v>
      </c>
      <c r="AD26" s="14">
        <f>Table137[[#This Row],[Investimento no Mês (Growth) ** 50%**]]+AD25</f>
        <v>5000</v>
      </c>
      <c r="AE26" s="73">
        <f>Table137[[#This Row],[Receita MUVX Acumulada]]/Table137[[#This Row],[Investimento Acumulado]]</f>
        <v>0</v>
      </c>
      <c r="AF26" s="73" t="e">
        <f>Table137[[#This Row],[ROI]]+AF25</f>
        <v>#DIV/0!</v>
      </c>
    </row>
    <row r="27" spans="1:32">
      <c r="A27" s="87">
        <v>46113</v>
      </c>
      <c r="B27" s="61">
        <f t="shared" si="3"/>
        <v>5000</v>
      </c>
      <c r="C27" s="61">
        <f t="shared" si="5"/>
        <v>11.294303999999999</v>
      </c>
      <c r="D27" s="62">
        <f>Table137[[#This Row],[Investimento no Mês (Growth) ** 50%**]]/Table137[[#This Row],[CPL 
(cadastro)]]</f>
        <v>442.70102876635872</v>
      </c>
      <c r="E27" s="63">
        <v>0.04</v>
      </c>
      <c r="F27" s="62">
        <f>Table137[[#This Row],[Novos Cadastros 
no App Personal]]*Table137[[#This Row],[Tx. % Ativação Personais (Conversão)]]</f>
        <v>17.708041150654349</v>
      </c>
      <c r="G27" s="62">
        <f>Table137[[#This Row],[Novos Personais Ativados]]+G26</f>
        <v>30.723451396385293</v>
      </c>
      <c r="H27" s="62">
        <f>IFERROR(Table137[[#This Row],[Investimento no Mês (Growth) ** 50%**]]/Table137[[#This Row],[Novos Personais Ativados]],0)</f>
        <v>282.35759999999999</v>
      </c>
      <c r="I27" s="66">
        <v>0.04</v>
      </c>
      <c r="J27" s="67">
        <f>Table137[[#This Row],[Personais 
Totais]]*Table137[[#This Row],[Tx. % Churn]]</f>
        <v>1.2289380558554117</v>
      </c>
      <c r="K27" s="62">
        <f>Table137[[#This Row],[Personais 
Totais]]-Table137[[#This Row],[Qtde. Churn 
no Mês]]</f>
        <v>29.494513340529881</v>
      </c>
      <c r="L27" s="68">
        <v>50</v>
      </c>
      <c r="M27" s="61">
        <f t="shared" si="4"/>
        <v>104.56783749999997</v>
      </c>
      <c r="N27" s="76">
        <f t="shared" si="4"/>
        <v>5228.3918749999975</v>
      </c>
      <c r="O27" s="62">
        <f>Table137[[#This Row],[Personais 
Ativos Mês]]+(Table137[[#This Row],[Personais 
Ativos Mês]]*Table137[[#This Row],[Média Alunos Estimada 
Total Personal]])</f>
        <v>1504.2201803670239</v>
      </c>
      <c r="P27" s="77">
        <f>Table137[[#This Row],[Média Faturamento
Estimada Personal]]*K26</f>
        <v>63966.685267857116</v>
      </c>
      <c r="Q27" s="77">
        <f>Table137[[#This Row],[Faturamento Estimado]]*7.5%</f>
        <v>4797.5013950892835</v>
      </c>
      <c r="R27" s="71">
        <f>Table137[[#This Row],[Total Usuários Estimado]]*2.99</f>
        <v>4497.6183392974017</v>
      </c>
      <c r="S27" s="72">
        <f>Table137[[#This Row],[Média Alunos Estimada 
Total Personal]]-(Table137[[#This Row],[Tx. % Real Alunos 
não ativados]]*Table137[[#This Row],[Média Alunos Estimada 
Total Personal]])</f>
        <v>45</v>
      </c>
      <c r="T27" s="66">
        <v>0.1</v>
      </c>
      <c r="U27" s="14">
        <f>Table137[[#This Row],[Ticket Médio Aluno Personal]]*Table137[[#This Row],[Média Real Alunos 
Ativos Personal]]</f>
        <v>4705.5526874999987</v>
      </c>
      <c r="V27" s="62">
        <f>Table137[[#This Row],[Média Real Alunos 
Ativos Personal]]*Table137[[#This Row],[Personais 
Ativos Mês]]</f>
        <v>1327.2531003238446</v>
      </c>
      <c r="W27" s="14">
        <v>1404.73</v>
      </c>
      <c r="X27" s="62"/>
      <c r="Y27" s="14">
        <f>Table137[[#This Row],[Média Real por Personal]]*K26</f>
        <v>57570.016741071413</v>
      </c>
      <c r="Z27" s="14">
        <f>Table137[[#This Row],[Faturamento 
Real Bruto]]*5%</f>
        <v>2878.5008370535706</v>
      </c>
      <c r="AA27" s="14">
        <f>Table137[[#This Row],[Total Real 
Usuários ]]*3.99</f>
        <v>5295.73987029214</v>
      </c>
      <c r="AB27" s="14">
        <f>AB26+Table137[[#This Row],[Faturamento 
Real Bruto]]</f>
        <v>57570.016741071413</v>
      </c>
      <c r="AC27" s="14">
        <f>AC26+Table137[[#This Row],[Receita 
MUVX (7,5%)]]</f>
        <v>2878.5008370535706</v>
      </c>
      <c r="AD27" s="14">
        <f>Table137[[#This Row],[Investimento no Mês (Growth) ** 50%**]]+AD26</f>
        <v>10000</v>
      </c>
      <c r="AE27" s="73">
        <f>Table137[[#This Row],[Receita MUVX Acumulada]]/Table137[[#This Row],[Investimento Acumulado]]</f>
        <v>0.28785008370535708</v>
      </c>
      <c r="AF27" s="73" t="e">
        <f>Table137[[#This Row],[ROI]]+AF26</f>
        <v>#DIV/0!</v>
      </c>
    </row>
    <row r="28" spans="1:32">
      <c r="A28" s="87">
        <v>46143</v>
      </c>
      <c r="B28" s="61">
        <f t="shared" si="3"/>
        <v>15000</v>
      </c>
      <c r="C28" s="61">
        <f t="shared" si="5"/>
        <v>11.068417919999998</v>
      </c>
      <c r="D28" s="62">
        <f>Table137[[#This Row],[Investimento no Mês (Growth) ** 50%**]]/Table137[[#This Row],[CPL 
(cadastro)]]</f>
        <v>1355.2072309174248</v>
      </c>
      <c r="E28" s="63">
        <v>7.0000000000000007E-2</v>
      </c>
      <c r="F28" s="62">
        <f>Table137[[#This Row],[Novos Cadastros 
no App Personal]]*Table137[[#This Row],[Tx. % Ativação Personais (Conversão)]]</f>
        <v>94.864506164219748</v>
      </c>
      <c r="G28" s="62">
        <f>Table137[[#This Row],[Novos Personais Ativados]]+G27</f>
        <v>125.58795756060505</v>
      </c>
      <c r="H28" s="62">
        <f>IFERROR(Table137[[#This Row],[Investimento no Mês (Growth) ** 50%**]]/Table137[[#This Row],[Novos Personais Ativados]],0)</f>
        <v>158.12025599999996</v>
      </c>
      <c r="I28" s="66">
        <v>0.05</v>
      </c>
      <c r="J28" s="67">
        <f>Table137[[#This Row],[Personais 
Totais]]*Table137[[#This Row],[Tx. % Churn]]</f>
        <v>6.2793978780302524</v>
      </c>
      <c r="K28" s="62">
        <f>Table137[[#This Row],[Personais 
Totais]]-Table137[[#This Row],[Qtde. Churn 
no Mês]]</f>
        <v>119.3085596825748</v>
      </c>
      <c r="L28" s="68">
        <v>50</v>
      </c>
      <c r="M28" s="61">
        <f t="shared" si="4"/>
        <v>106.13635506249996</v>
      </c>
      <c r="N28" s="76">
        <f t="shared" si="4"/>
        <v>5306.8177531249967</v>
      </c>
      <c r="O28" s="62">
        <f>Table137[[#This Row],[Personais 
Ativos Mês]]+(Table137[[#This Row],[Personais 
Ativos Mês]]*Table137[[#This Row],[Média Alunos Estimada 
Total Personal]])</f>
        <v>6084.7365438113147</v>
      </c>
      <c r="P28" s="77">
        <f>Table137[[#This Row],[Média Faturamento
Estimada Personal]]*K27</f>
        <v>156522.00701530604</v>
      </c>
      <c r="Q28" s="77">
        <f>Table137[[#This Row],[Faturamento Estimado]]*7.5%</f>
        <v>11739.150526147952</v>
      </c>
      <c r="R28" s="71">
        <f>Table137[[#This Row],[Total Usuários Estimado]]*2.99</f>
        <v>18193.362265995831</v>
      </c>
      <c r="S28" s="72">
        <f>Table137[[#This Row],[Média Alunos Estimada 
Total Personal]]-(Table137[[#This Row],[Tx. % Real Alunos 
não ativados]]*Table137[[#This Row],[Média Alunos Estimada 
Total Personal]])</f>
        <v>45</v>
      </c>
      <c r="T28" s="66">
        <v>0.1</v>
      </c>
      <c r="U28" s="14">
        <f>Table137[[#This Row],[Ticket Médio Aluno Personal]]*Table137[[#This Row],[Média Real Alunos 
Ativos Personal]]</f>
        <v>4776.1359778124979</v>
      </c>
      <c r="V28" s="62">
        <f>Table137[[#This Row],[Média Real Alunos 
Ativos Personal]]*Table137[[#This Row],[Personais 
Ativos Mês]]</f>
        <v>5368.8851857158661</v>
      </c>
      <c r="W28" s="14">
        <v>1617.95</v>
      </c>
      <c r="X28" s="62"/>
      <c r="Y28" s="14">
        <f>Table137[[#This Row],[Média Real por Personal]]*K27</f>
        <v>140869.80631377545</v>
      </c>
      <c r="Z28" s="14">
        <f>Table137[[#This Row],[Faturamento 
Real Bruto]]*5%</f>
        <v>7043.4903156887731</v>
      </c>
      <c r="AA28" s="14">
        <f>Table137[[#This Row],[Total Real 
Usuários ]]*3.99</f>
        <v>21421.851891006307</v>
      </c>
      <c r="AB28" s="14">
        <f>AB27+Table137[[#This Row],[Faturamento 
Real Bruto]]</f>
        <v>198439.82305484687</v>
      </c>
      <c r="AC28" s="14">
        <f>AC27+Table137[[#This Row],[Receita 
MUVX (7,5%)]]</f>
        <v>9921.9911527423428</v>
      </c>
      <c r="AD28" s="14">
        <f>Table137[[#This Row],[Investimento no Mês (Growth) ** 50%**]]+AD27</f>
        <v>25000</v>
      </c>
      <c r="AE28" s="73">
        <f>Table137[[#This Row],[Receita MUVX Acumulada]]/Table137[[#This Row],[Investimento Acumulado]]</f>
        <v>0.39687964610969373</v>
      </c>
      <c r="AF28" s="73" t="e">
        <f>Table137[[#This Row],[ROI]]+AF27</f>
        <v>#DIV/0!</v>
      </c>
    </row>
    <row r="29" spans="1:32">
      <c r="A29" s="87">
        <v>46174</v>
      </c>
      <c r="B29" s="61">
        <f t="shared" si="3"/>
        <v>20000</v>
      </c>
      <c r="C29" s="61">
        <f t="shared" si="5"/>
        <v>10.847049561599999</v>
      </c>
      <c r="D29" s="62">
        <f>Table137[[#This Row],[Investimento no Mês (Growth) ** 50%**]]/Table137[[#This Row],[CPL 
(cadastro)]]</f>
        <v>1843.8193617924146</v>
      </c>
      <c r="E29" s="63">
        <v>0.05</v>
      </c>
      <c r="F29" s="62">
        <f>Table137[[#This Row],[Novos Cadastros 
no App Personal]]*Table137[[#This Row],[Tx. % Ativação Personais (Conversão)]]</f>
        <v>92.190968089620739</v>
      </c>
      <c r="G29" s="62">
        <f>Table137[[#This Row],[Novos Personais Ativados]]+G28</f>
        <v>217.7789256502258</v>
      </c>
      <c r="H29" s="62">
        <f>IFERROR(Table137[[#This Row],[Investimento no Mês (Growth) ** 50%**]]/Table137[[#This Row],[Novos Personais Ativados]],0)</f>
        <v>216.94099123199996</v>
      </c>
      <c r="I29" s="66">
        <v>0.05</v>
      </c>
      <c r="J29" s="67">
        <f>Table137[[#This Row],[Personais 
Totais]]*Table137[[#This Row],[Tx. % Churn]]</f>
        <v>10.888946282511291</v>
      </c>
      <c r="K29" s="62">
        <f>Table137[[#This Row],[Personais 
Totais]]-Table137[[#This Row],[Qtde. Churn 
no Mês]]</f>
        <v>206.88997936771452</v>
      </c>
      <c r="L29" s="68">
        <v>50</v>
      </c>
      <c r="M29" s="61">
        <f t="shared" si="4"/>
        <v>107.72840038843745</v>
      </c>
      <c r="N29" s="76">
        <f t="shared" si="4"/>
        <v>5386.4200194218711</v>
      </c>
      <c r="O29" s="62">
        <f>Table137[[#This Row],[Personais 
Ativos Mês]]+(Table137[[#This Row],[Personais 
Ativos Mês]]*Table137[[#This Row],[Média Alunos Estimada 
Total Personal]])</f>
        <v>10551.388947753439</v>
      </c>
      <c r="P29" s="77">
        <f>Table137[[#This Row],[Média Faturamento
Estimada Personal]]*K28</f>
        <v>642646.01436260995</v>
      </c>
      <c r="Q29" s="77">
        <f>Table137[[#This Row],[Faturamento Estimado]]*7.5%</f>
        <v>48198.451077195743</v>
      </c>
      <c r="R29" s="71">
        <f>Table137[[#This Row],[Total Usuários Estimado]]*2.99</f>
        <v>31548.652953782785</v>
      </c>
      <c r="S29" s="72">
        <f>Table137[[#This Row],[Média Alunos Estimada 
Total Personal]]-(Table137[[#This Row],[Tx. % Real Alunos 
não ativados]]*Table137[[#This Row],[Média Alunos Estimada 
Total Personal]])</f>
        <v>45</v>
      </c>
      <c r="T29" s="66">
        <v>0.1</v>
      </c>
      <c r="U29" s="14">
        <f>Table137[[#This Row],[Ticket Médio Aluno Personal]]*Table137[[#This Row],[Média Real Alunos 
Ativos Personal]]</f>
        <v>4847.7780174796853</v>
      </c>
      <c r="V29" s="62">
        <f>Table137[[#This Row],[Média Real Alunos 
Ativos Personal]]*Table137[[#This Row],[Personais 
Ativos Mês]]</f>
        <v>9310.0490715471533</v>
      </c>
      <c r="W29" s="14">
        <v>1904.26</v>
      </c>
      <c r="X29" s="62"/>
      <c r="Y29" s="14">
        <f>Table137[[#This Row],[Média Real por Personal]]*K28</f>
        <v>578381.41292634921</v>
      </c>
      <c r="Z29" s="14">
        <f>Table137[[#This Row],[Faturamento 
Real Bruto]]*5%</f>
        <v>28919.070646317461</v>
      </c>
      <c r="AA29" s="14">
        <f>Table137[[#This Row],[Total Real 
Usuários ]]*3.99</f>
        <v>37147.095795473142</v>
      </c>
      <c r="AB29" s="14">
        <f>AB28+Table137[[#This Row],[Faturamento 
Real Bruto]]</f>
        <v>776821.23598119605</v>
      </c>
      <c r="AC29" s="14">
        <f>AC28+Table137[[#This Row],[Receita 
MUVX (7,5%)]]</f>
        <v>38841.061799059804</v>
      </c>
      <c r="AD29" s="14">
        <f>Table137[[#This Row],[Investimento no Mês (Growth) ** 50%**]]+AD28</f>
        <v>45000</v>
      </c>
      <c r="AE29" s="73">
        <f>Table137[[#This Row],[Receita MUVX Acumulada]]/Table137[[#This Row],[Investimento Acumulado]]</f>
        <v>0.86313470664577341</v>
      </c>
      <c r="AF29" s="73" t="e">
        <f>Table137[[#This Row],[ROI]]+AF28</f>
        <v>#DIV/0!</v>
      </c>
    </row>
    <row r="30" spans="1:32">
      <c r="A30" s="87">
        <v>46204</v>
      </c>
      <c r="B30" s="61">
        <f t="shared" si="3"/>
        <v>87400</v>
      </c>
      <c r="C30" s="61">
        <f t="shared" si="5"/>
        <v>10.630108570367998</v>
      </c>
      <c r="D30" s="62">
        <f>Table137[[#This Row],[Investimento no Mês (Growth) ** 50%**]]/Table137[[#This Row],[CPL 
(cadastro)]]</f>
        <v>8221.9291949314811</v>
      </c>
      <c r="E30" s="63">
        <v>0.06</v>
      </c>
      <c r="F30" s="62">
        <f>Table137[[#This Row],[Novos Cadastros 
no App Personal]]*Table137[[#This Row],[Tx. % Ativação Personais (Conversão)]]</f>
        <v>493.31575169588882</v>
      </c>
      <c r="G30" s="62">
        <f>Table137[[#This Row],[Novos Personais Ativados]]+G29</f>
        <v>711.09467734611462</v>
      </c>
      <c r="H30" s="62">
        <f>IFERROR(Table137[[#This Row],[Investimento no Mês (Growth) ** 50%**]]/Table137[[#This Row],[Novos Personais Ativados]],0)</f>
        <v>177.16847617280001</v>
      </c>
      <c r="I30" s="66">
        <v>0.02</v>
      </c>
      <c r="J30" s="67">
        <f>Table137[[#This Row],[Personais 
Totais]]*Table137[[#This Row],[Tx. % Churn]]</f>
        <v>14.221893546922292</v>
      </c>
      <c r="K30" s="62">
        <f>Table137[[#This Row],[Personais 
Totais]]-Table137[[#This Row],[Qtde. Churn 
no Mês]]</f>
        <v>696.87278379919235</v>
      </c>
      <c r="L30" s="68">
        <v>50</v>
      </c>
      <c r="M30" s="61">
        <f t="shared" si="4"/>
        <v>109.344326394264</v>
      </c>
      <c r="N30" s="76">
        <f t="shared" si="4"/>
        <v>5467.2163197131986</v>
      </c>
      <c r="O30" s="62">
        <f>Table137[[#This Row],[Personais 
Ativos Mês]]+(Table137[[#This Row],[Personais 
Ativos Mês]]*Table137[[#This Row],[Média Alunos Estimada 
Total Personal]])</f>
        <v>35540.51197375881</v>
      </c>
      <c r="P30" s="77">
        <f>Table137[[#This Row],[Média Faturamento
Estimada Personal]]*K29</f>
        <v>1131112.2715842957</v>
      </c>
      <c r="Q30" s="77">
        <f>Table137[[#This Row],[Faturamento Estimado]]*7.5%</f>
        <v>84833.420368822175</v>
      </c>
      <c r="R30" s="71">
        <f>Table137[[#This Row],[Total Usuários Estimado]]*2.99</f>
        <v>106266.13080153885</v>
      </c>
      <c r="S30" s="72">
        <f>Table137[[#This Row],[Média Alunos Estimada 
Total Personal]]-(Table137[[#This Row],[Tx. % Real Alunos 
não ativados]]*Table137[[#This Row],[Média Alunos Estimada 
Total Personal]])</f>
        <v>45</v>
      </c>
      <c r="T30" s="66">
        <v>0.1</v>
      </c>
      <c r="U30" s="14">
        <f>Table137[[#This Row],[Ticket Médio Aluno Personal]]*Table137[[#This Row],[Média Real Alunos 
Ativos Personal]]</f>
        <v>4920.4946877418797</v>
      </c>
      <c r="V30" s="62">
        <f>Table137[[#This Row],[Média Real Alunos 
Ativos Personal]]*Table137[[#This Row],[Personais 
Ativos Mês]]</f>
        <v>31359.275270963655</v>
      </c>
      <c r="W30" s="14">
        <v>2334.79</v>
      </c>
      <c r="X30" s="62"/>
      <c r="Y30" s="14">
        <f>Table137[[#This Row],[Média Real por Personal]]*K29</f>
        <v>1018001.0444258663</v>
      </c>
      <c r="Z30" s="14">
        <f>Table137[[#This Row],[Faturamento 
Real Bruto]]*5%</f>
        <v>50900.052221293321</v>
      </c>
      <c r="AA30" s="14">
        <f>Table137[[#This Row],[Total Real 
Usuários ]]*3.99</f>
        <v>125123.50833114499</v>
      </c>
      <c r="AB30" s="14">
        <f>AB29+Table137[[#This Row],[Faturamento 
Real Bruto]]</f>
        <v>1794822.2804070623</v>
      </c>
      <c r="AC30" s="14">
        <f>AC29+Table137[[#This Row],[Receita 
MUVX (7,5%)]]</f>
        <v>89741.114020353125</v>
      </c>
      <c r="AD30" s="14">
        <f>Table137[[#This Row],[Investimento no Mês (Growth) ** 50%**]]+AD29</f>
        <v>132400</v>
      </c>
      <c r="AE30" s="73">
        <f>Table137[[#This Row],[Receita MUVX Acumulada]]/Table137[[#This Row],[Investimento Acumulado]]</f>
        <v>0.6778029759845402</v>
      </c>
      <c r="AF30" s="73" t="e">
        <f>Table137[[#This Row],[ROI]]+AF29</f>
        <v>#DIV/0!</v>
      </c>
    </row>
    <row r="31" spans="1:32">
      <c r="A31" s="87">
        <v>46235</v>
      </c>
      <c r="B31" s="61">
        <f t="shared" si="3"/>
        <v>100509.99999999999</v>
      </c>
      <c r="C31" s="61">
        <f t="shared" si="5"/>
        <v>10.417506398960638</v>
      </c>
      <c r="D31" s="62">
        <f>Table137[[#This Row],[Investimento no Mês (Growth) ** 50%**]]/Table137[[#This Row],[CPL 
(cadastro)]]</f>
        <v>9648.1822185420442</v>
      </c>
      <c r="E31" s="63">
        <v>0.08</v>
      </c>
      <c r="F31" s="62">
        <f>Table137[[#This Row],[Novos Cadastros 
no App Personal]]*Table137[[#This Row],[Tx. % Ativação Personais (Conversão)]]</f>
        <v>771.85457748336353</v>
      </c>
      <c r="G31" s="62">
        <f>Table137[[#This Row],[Novos Personais Ativados]]+G30</f>
        <v>1482.9492548294781</v>
      </c>
      <c r="H31" s="62">
        <f>IFERROR(Table137[[#This Row],[Investimento no Mês (Growth) ** 50%**]]/Table137[[#This Row],[Novos Personais Ativados]],0)</f>
        <v>130.21882998700798</v>
      </c>
      <c r="I31" s="66">
        <v>0.03</v>
      </c>
      <c r="J31" s="67">
        <f>Table137[[#This Row],[Personais 
Totais]]*Table137[[#This Row],[Tx. % Churn]]</f>
        <v>44.488477644884341</v>
      </c>
      <c r="K31" s="62">
        <f>Table137[[#This Row],[Personais 
Totais]]-Table137[[#This Row],[Qtde. Churn 
no Mês]]</f>
        <v>1438.4607771845938</v>
      </c>
      <c r="L31" s="68">
        <v>50</v>
      </c>
      <c r="M31" s="61">
        <f t="shared" si="4"/>
        <v>110.98449129017796</v>
      </c>
      <c r="N31" s="76">
        <f t="shared" si="4"/>
        <v>5549.224564508896</v>
      </c>
      <c r="O31" s="62">
        <f>Table137[[#This Row],[Personais 
Ativos Mês]]+(Table137[[#This Row],[Personais 
Ativos Mês]]*Table137[[#This Row],[Média Alunos Estimada 
Total Personal]])</f>
        <v>73361.499636414286</v>
      </c>
      <c r="P31" s="77">
        <f>Table137[[#This Row],[Média Faturamento
Estimada Personal]]*K30</f>
        <v>3867103.570196175</v>
      </c>
      <c r="Q31" s="77">
        <f>Table137[[#This Row],[Faturamento Estimado]]*7.5%</f>
        <v>290032.76776471309</v>
      </c>
      <c r="R31" s="71">
        <f>Table137[[#This Row],[Total Usuários Estimado]]*2.99</f>
        <v>219350.88391287872</v>
      </c>
      <c r="S31" s="72">
        <f>Table137[[#This Row],[Média Alunos Estimada 
Total Personal]]-(Table137[[#This Row],[Tx. % Real Alunos 
não ativados]]*Table137[[#This Row],[Média Alunos Estimada 
Total Personal]])</f>
        <v>45</v>
      </c>
      <c r="T31" s="66">
        <v>0.1</v>
      </c>
      <c r="U31" s="14">
        <f>Table137[[#This Row],[Ticket Médio Aluno Personal]]*Table137[[#This Row],[Média Real Alunos 
Ativos Personal]]</f>
        <v>4994.3021080580083</v>
      </c>
      <c r="V31" s="62">
        <f>Table137[[#This Row],[Média Real Alunos 
Ativos Personal]]*Table137[[#This Row],[Personais 
Ativos Mês]]</f>
        <v>64730.734973306717</v>
      </c>
      <c r="W31" s="14">
        <v>2731.57</v>
      </c>
      <c r="X31" s="62"/>
      <c r="Y31" s="14">
        <f>Table137[[#This Row],[Média Real por Personal]]*K30</f>
        <v>3480393.2131765592</v>
      </c>
      <c r="Z31" s="14">
        <f>Table137[[#This Row],[Faturamento 
Real Bruto]]*5%</f>
        <v>174019.66065882798</v>
      </c>
      <c r="AA31" s="14">
        <f>Table137[[#This Row],[Total Real 
Usuários ]]*3.99</f>
        <v>258275.63254349382</v>
      </c>
      <c r="AB31" s="14">
        <f>AB30+Table137[[#This Row],[Faturamento 
Real Bruto]]</f>
        <v>5275215.4935836215</v>
      </c>
      <c r="AC31" s="14">
        <f>AC30+Table137[[#This Row],[Receita 
MUVX (7,5%)]]</f>
        <v>263760.77467918111</v>
      </c>
      <c r="AD31" s="14">
        <f>Table137[[#This Row],[Investimento no Mês (Growth) ** 50%**]]+AD30</f>
        <v>232910</v>
      </c>
      <c r="AE31" s="73">
        <f>Table137[[#This Row],[Receita MUVX Acumulada]]/Table137[[#This Row],[Investimento Acumulado]]</f>
        <v>1.1324579222840629</v>
      </c>
      <c r="AF31" s="73" t="e">
        <f>Table137[[#This Row],[ROI]]+AF30</f>
        <v>#DIV/0!</v>
      </c>
    </row>
    <row r="32" spans="1:32">
      <c r="A32" s="87">
        <v>46266</v>
      </c>
      <c r="B32" s="61">
        <f t="shared" si="3"/>
        <v>115586.49999999997</v>
      </c>
      <c r="C32" s="61">
        <f t="shared" si="5"/>
        <v>10.209156270981426</v>
      </c>
      <c r="D32" s="62">
        <f>Table137[[#This Row],[Investimento no Mês (Growth) ** 50%**]]/Table137[[#This Row],[CPL 
(cadastro)]]</f>
        <v>11321.846480942193</v>
      </c>
      <c r="E32" s="63">
        <v>0.08</v>
      </c>
      <c r="F32" s="62">
        <f>Table137[[#This Row],[Novos Cadastros 
no App Personal]]*Table137[[#This Row],[Tx. % Ativação Personais (Conversão)]]</f>
        <v>905.74771847537545</v>
      </c>
      <c r="G32" s="62">
        <f>Table137[[#This Row],[Novos Personais Ativados]]+G31</f>
        <v>2388.6969733048536</v>
      </c>
      <c r="H32" s="62">
        <f>IFERROR(Table137[[#This Row],[Investimento no Mês (Growth) ** 50%**]]/Table137[[#This Row],[Novos Personais Ativados]],0)</f>
        <v>127.61445338726782</v>
      </c>
      <c r="I32" s="66">
        <v>0.02</v>
      </c>
      <c r="J32" s="67">
        <f>Table137[[#This Row],[Personais 
Totais]]*Table137[[#This Row],[Tx. % Churn]]</f>
        <v>47.773939466097076</v>
      </c>
      <c r="K32" s="62">
        <f>Table137[[#This Row],[Personais 
Totais]]-Table137[[#This Row],[Qtde. Churn 
no Mês]]</f>
        <v>2340.9230338387565</v>
      </c>
      <c r="L32" s="68">
        <v>50</v>
      </c>
      <c r="M32" s="61">
        <f t="shared" si="4"/>
        <v>112.64925865953062</v>
      </c>
      <c r="N32" s="76">
        <f t="shared" si="4"/>
        <v>5632.4629329765294</v>
      </c>
      <c r="O32" s="62">
        <f>Table137[[#This Row],[Personais 
Ativos Mês]]+(Table137[[#This Row],[Personais 
Ativos Mês]]*Table137[[#This Row],[Média Alunos Estimada 
Total Personal]])</f>
        <v>119387.07472577658</v>
      </c>
      <c r="P32" s="77">
        <f>Table137[[#This Row],[Média Faturamento
Estimada Personal]]*K31</f>
        <v>8102077.0080328351</v>
      </c>
      <c r="Q32" s="77">
        <f>Table137[[#This Row],[Faturamento Estimado]]*7.5%</f>
        <v>607655.77560246259</v>
      </c>
      <c r="R32" s="71">
        <f>Table137[[#This Row],[Total Usuários Estimado]]*2.99</f>
        <v>356967.35343007196</v>
      </c>
      <c r="S32" s="72">
        <f>Table137[[#This Row],[Média Alunos Estimada 
Total Personal]]-(Table137[[#This Row],[Tx. % Real Alunos 
não ativados]]*Table137[[#This Row],[Média Alunos Estimada 
Total Personal]])</f>
        <v>45</v>
      </c>
      <c r="T32" s="66">
        <v>0.1</v>
      </c>
      <c r="U32" s="14">
        <f>Table137[[#This Row],[Ticket Médio Aluno Personal]]*Table137[[#This Row],[Média Real Alunos 
Ativos Personal]]</f>
        <v>5069.216639678878</v>
      </c>
      <c r="V32" s="62">
        <f>Table137[[#This Row],[Média Real Alunos 
Ativos Personal]]*Table137[[#This Row],[Personais 
Ativos Mês]]</f>
        <v>105341.53652274405</v>
      </c>
      <c r="W32" s="14">
        <v>3259.22</v>
      </c>
      <c r="X32" s="62"/>
      <c r="Y32" s="14">
        <f>Table137[[#This Row],[Média Real por Personal]]*K31</f>
        <v>7291869.3072295533</v>
      </c>
      <c r="Z32" s="14">
        <f>Table137[[#This Row],[Faturamento 
Real Bruto]]*5%</f>
        <v>364593.46536147769</v>
      </c>
      <c r="AA32" s="14">
        <f>Table137[[#This Row],[Total Real 
Usuários ]]*3.99</f>
        <v>420312.73072574876</v>
      </c>
      <c r="AB32" s="14">
        <f>AB31+Table137[[#This Row],[Faturamento 
Real Bruto]]</f>
        <v>12567084.800813176</v>
      </c>
      <c r="AC32" s="14">
        <f>AC31+Table137[[#This Row],[Receita 
MUVX (7,5%)]]</f>
        <v>628354.24004065874</v>
      </c>
      <c r="AD32" s="14">
        <f>Table137[[#This Row],[Investimento no Mês (Growth) ** 50%**]]+AD31</f>
        <v>348496.5</v>
      </c>
      <c r="AE32" s="73">
        <f>Table137[[#This Row],[Receita MUVX Acumulada]]/Table137[[#This Row],[Investimento Acumulado]]</f>
        <v>1.8030431870640271</v>
      </c>
      <c r="AF32" s="73" t="e">
        <f>Table137[[#This Row],[ROI]]+AF31</f>
        <v>#DIV/0!</v>
      </c>
    </row>
    <row r="33" spans="1:32">
      <c r="A33" s="87">
        <v>46296</v>
      </c>
      <c r="B33" s="61">
        <f t="shared" si="3"/>
        <v>132924.47499999995</v>
      </c>
      <c r="C33" s="61">
        <f t="shared" si="5"/>
        <v>10.004973145561797</v>
      </c>
      <c r="D33" s="62">
        <f>Table137[[#This Row],[Investimento no Mês (Growth) ** 50%**]]/Table137[[#This Row],[CPL 
(cadastro)]]</f>
        <v>13285.840258248489</v>
      </c>
      <c r="E33" s="63">
        <v>7.0000000000000007E-2</v>
      </c>
      <c r="F33" s="62">
        <f>Table137[[#This Row],[Novos Cadastros 
no App Personal]]*Table137[[#This Row],[Tx. % Ativação Personais (Conversão)]]</f>
        <v>930.00881807739427</v>
      </c>
      <c r="G33" s="62">
        <f>Table137[[#This Row],[Novos Personais Ativados]]+G32</f>
        <v>3318.7057913822478</v>
      </c>
      <c r="H33" s="62">
        <f>IFERROR(Table137[[#This Row],[Investimento no Mês (Growth) ** 50%**]]/Table137[[#This Row],[Novos Personais Ativados]],0)</f>
        <v>142.92818779373997</v>
      </c>
      <c r="I33" s="66">
        <v>0.03</v>
      </c>
      <c r="J33" s="67">
        <f>Table137[[#This Row],[Personais 
Totais]]*Table137[[#This Row],[Tx. % Churn]]</f>
        <v>99.561173741467428</v>
      </c>
      <c r="K33" s="62">
        <f>Table137[[#This Row],[Personais 
Totais]]-Table137[[#This Row],[Qtde. Churn 
no Mês]]</f>
        <v>3219.1446176407803</v>
      </c>
      <c r="L33" s="68">
        <v>50</v>
      </c>
      <c r="M33" s="61">
        <f t="shared" si="4"/>
        <v>114.33899753942356</v>
      </c>
      <c r="N33" s="76">
        <f t="shared" si="4"/>
        <v>5716.9498769711772</v>
      </c>
      <c r="O33" s="62">
        <f>Table137[[#This Row],[Personais 
Ativos Mês]]+(Table137[[#This Row],[Personais 
Ativos Mês]]*Table137[[#This Row],[Média Alunos Estimada 
Total Personal]])</f>
        <v>164176.37549967979</v>
      </c>
      <c r="P33" s="77">
        <f>Table137[[#This Row],[Média Faturamento
Estimada Personal]]*K32</f>
        <v>13382939.650303474</v>
      </c>
      <c r="Q33" s="77">
        <f>Table137[[#This Row],[Faturamento Estimado]]*7.5%</f>
        <v>1003720.4737727605</v>
      </c>
      <c r="R33" s="71">
        <f>Table137[[#This Row],[Total Usuários Estimado]]*2.99</f>
        <v>490887.36274404259</v>
      </c>
      <c r="S33" s="72">
        <f>Table137[[#This Row],[Média Alunos Estimada 
Total Personal]]-(Table137[[#This Row],[Tx. % Real Alunos 
não ativados]]*Table137[[#This Row],[Média Alunos Estimada 
Total Personal]])</f>
        <v>45</v>
      </c>
      <c r="T33" s="66">
        <v>0.1</v>
      </c>
      <c r="U33" s="14">
        <f>Table137[[#This Row],[Ticket Médio Aluno Personal]]*Table137[[#This Row],[Média Real Alunos 
Ativos Personal]]</f>
        <v>5145.2548892740606</v>
      </c>
      <c r="V33" s="62">
        <f>Table137[[#This Row],[Média Real Alunos 
Ativos Personal]]*Table137[[#This Row],[Personais 
Ativos Mês]]</f>
        <v>144861.5077938351</v>
      </c>
      <c r="W33" s="14">
        <v>3862.91</v>
      </c>
      <c r="X33" s="62"/>
      <c r="Y33" s="14">
        <f>Table137[[#This Row],[Média Real por Personal]]*K32</f>
        <v>12044645.685273129</v>
      </c>
      <c r="Z33" s="14">
        <f>Table137[[#This Row],[Faturamento 
Real Bruto]]*5%</f>
        <v>602232.28426365647</v>
      </c>
      <c r="AA33" s="14">
        <f>Table137[[#This Row],[Total Real 
Usuários ]]*3.99</f>
        <v>577997.41609740211</v>
      </c>
      <c r="AB33" s="14">
        <f>AB32+Table137[[#This Row],[Faturamento 
Real Bruto]]</f>
        <v>24611730.486086305</v>
      </c>
      <c r="AC33" s="14">
        <f>AC32+Table137[[#This Row],[Receita 
MUVX (7,5%)]]</f>
        <v>1230586.5243043152</v>
      </c>
      <c r="AD33" s="14">
        <f>Table137[[#This Row],[Investimento no Mês (Growth) ** 50%**]]+AD32</f>
        <v>481420.97499999998</v>
      </c>
      <c r="AE33" s="73">
        <f>Table137[[#This Row],[Receita MUVX Acumulada]]/Table137[[#This Row],[Investimento Acumulado]]</f>
        <v>2.5561547755668834</v>
      </c>
      <c r="AF33" s="73" t="e">
        <f>Table137[[#This Row],[ROI]]+AF32</f>
        <v>#DIV/0!</v>
      </c>
    </row>
    <row r="34" spans="1:32">
      <c r="A34" s="87">
        <v>46327</v>
      </c>
      <c r="B34" s="61">
        <f t="shared" si="3"/>
        <v>152863.14624999993</v>
      </c>
      <c r="C34" s="61">
        <f t="shared" si="5"/>
        <v>9.8048736826505607</v>
      </c>
      <c r="D34" s="62">
        <f>Table137[[#This Row],[Investimento no Mês (Growth) ** 50%**]]/Table137[[#This Row],[CPL 
(cadastro)]]</f>
        <v>15590.526833658942</v>
      </c>
      <c r="E34" s="63">
        <v>0.1</v>
      </c>
      <c r="F34" s="62">
        <f>Table137[[#This Row],[Novos Cadastros 
no App Personal]]*Table137[[#This Row],[Tx. % Ativação Personais (Conversão)]]</f>
        <v>1559.0526833658942</v>
      </c>
      <c r="G34" s="62">
        <f>Table137[[#This Row],[Novos Personais Ativados]]+G33</f>
        <v>4877.7584747481415</v>
      </c>
      <c r="H34" s="62">
        <f>IFERROR(Table137[[#This Row],[Investimento no Mês (Growth) ** 50%**]]/Table137[[#This Row],[Novos Personais Ativados]],0)</f>
        <v>98.048736826505603</v>
      </c>
      <c r="I34" s="66">
        <v>0.03</v>
      </c>
      <c r="J34" s="67">
        <f>Table137[[#This Row],[Personais 
Totais]]*Table137[[#This Row],[Tx. % Churn]]</f>
        <v>146.33275424244422</v>
      </c>
      <c r="K34" s="62">
        <f>Table137[[#This Row],[Personais 
Totais]]-Table137[[#This Row],[Qtde. Churn 
no Mês]]</f>
        <v>4731.4257205056974</v>
      </c>
      <c r="L34" s="68">
        <v>50</v>
      </c>
      <c r="M34" s="61">
        <f t="shared" si="4"/>
        <v>116.0540825025149</v>
      </c>
      <c r="N34" s="76">
        <f t="shared" si="4"/>
        <v>5802.7041251257442</v>
      </c>
      <c r="O34" s="62">
        <f>Table137[[#This Row],[Personais 
Ativos Mês]]+(Table137[[#This Row],[Personais 
Ativos Mês]]*Table137[[#This Row],[Média Alunos Estimada 
Total Personal]])</f>
        <v>241302.71174579058</v>
      </c>
      <c r="P34" s="77">
        <f>Table137[[#This Row],[Média Faturamento
Estimada Personal]]*K33</f>
        <v>18679743.752160493</v>
      </c>
      <c r="Q34" s="77">
        <f>Table137[[#This Row],[Faturamento Estimado]]*7.5%</f>
        <v>1400980.7814120369</v>
      </c>
      <c r="R34" s="71">
        <f>Table137[[#This Row],[Total Usuários Estimado]]*2.99</f>
        <v>721495.10811991384</v>
      </c>
      <c r="S34" s="72">
        <f>Table137[[#This Row],[Média Alunos Estimada 
Total Personal]]-(Table137[[#This Row],[Tx. % Real Alunos 
não ativados]]*Table137[[#This Row],[Média Alunos Estimada 
Total Personal]])</f>
        <v>45</v>
      </c>
      <c r="T34" s="66">
        <v>0.1</v>
      </c>
      <c r="U34" s="14">
        <f>Table137[[#This Row],[Ticket Médio Aluno Personal]]*Table137[[#This Row],[Média Real Alunos 
Ativos Personal]]</f>
        <v>5222.4337126131704</v>
      </c>
      <c r="V34" s="62">
        <f>Table137[[#This Row],[Média Real Alunos 
Ativos Personal]]*Table137[[#This Row],[Personais 
Ativos Mês]]</f>
        <v>212914.1574227564</v>
      </c>
      <c r="W34" s="14">
        <v>4572.01</v>
      </c>
      <c r="X34" s="62"/>
      <c r="Y34" s="14">
        <f>Table137[[#This Row],[Média Real por Personal]]*K33</f>
        <v>16811769.376944445</v>
      </c>
      <c r="Z34" s="14">
        <f>Table137[[#This Row],[Faturamento 
Real Bruto]]*5%</f>
        <v>840588.46884722228</v>
      </c>
      <c r="AA34" s="14">
        <f>Table137[[#This Row],[Total Real 
Usuários ]]*3.99</f>
        <v>849527.48811679811</v>
      </c>
      <c r="AB34" s="14">
        <f>AB33+Table137[[#This Row],[Faturamento 
Real Bruto]]</f>
        <v>41423499.863030747</v>
      </c>
      <c r="AC34" s="14">
        <f>AC33+Table137[[#This Row],[Receita 
MUVX (7,5%)]]</f>
        <v>2071174.9931515376</v>
      </c>
      <c r="AD34" s="14">
        <f>Table137[[#This Row],[Investimento no Mês (Growth) ** 50%**]]+AD33</f>
        <v>634284.12124999985</v>
      </c>
      <c r="AE34" s="73">
        <f>Table137[[#This Row],[Receita MUVX Acumulada]]/Table137[[#This Row],[Investimento Acumulado]]</f>
        <v>3.2653741813208574</v>
      </c>
      <c r="AF34" s="73" t="e">
        <f>Table137[[#This Row],[ROI]]+AF33</f>
        <v>#DIV/0!</v>
      </c>
    </row>
    <row r="35" spans="1:32">
      <c r="A35" s="87">
        <v>46357</v>
      </c>
      <c r="B35" s="61">
        <f t="shared" si="3"/>
        <v>175792.6181874999</v>
      </c>
      <c r="C35" s="61">
        <f t="shared" si="5"/>
        <v>9.6087762089975488</v>
      </c>
      <c r="D35" s="62">
        <f>Table137[[#This Row],[Investimento no Mês (Growth) ** 50%**]]/Table137[[#This Row],[CPL 
(cadastro)]]</f>
        <v>18295.005978273246</v>
      </c>
      <c r="E35" s="63">
        <v>0.04</v>
      </c>
      <c r="F35" s="62">
        <f>Table137[[#This Row],[Novos Cadastros 
no App Personal]]*Table137[[#This Row],[Tx. % Ativação Personais (Conversão)]]</f>
        <v>731.80023913092987</v>
      </c>
      <c r="G35" s="62">
        <f>Table137[[#This Row],[Novos Personais Ativados]]+G34</f>
        <v>5609.5587138790715</v>
      </c>
      <c r="H35" s="62">
        <f>IFERROR(Table137[[#This Row],[Investimento no Mês (Growth) ** 50%**]]/Table137[[#This Row],[Novos Personais Ativados]],0)</f>
        <v>240.21940522493873</v>
      </c>
      <c r="I35" s="66">
        <v>0.1</v>
      </c>
      <c r="J35" s="67">
        <f>Table137[[#This Row],[Personais 
Totais]]*Table137[[#This Row],[Tx. % Churn]]</f>
        <v>560.95587138790722</v>
      </c>
      <c r="K35" s="62">
        <f>Table137[[#This Row],[Personais 
Totais]]-Table137[[#This Row],[Qtde. Churn 
no Mês]]</f>
        <v>5048.6028424911647</v>
      </c>
      <c r="L35" s="68">
        <v>50</v>
      </c>
      <c r="M35" s="61">
        <f t="shared" si="4"/>
        <v>117.79489374005261</v>
      </c>
      <c r="N35" s="76">
        <f t="shared" si="4"/>
        <v>5889.7446870026297</v>
      </c>
      <c r="O35" s="62">
        <f>Table137[[#This Row],[Personais 
Ativos Mês]]+(Table137[[#This Row],[Personais 
Ativos Mês]]*Table137[[#This Row],[Média Alunos Estimada 
Total Personal]])</f>
        <v>257478.74496704942</v>
      </c>
      <c r="P35" s="77">
        <f>Table137[[#This Row],[Média Faturamento
Estimada Personal]]*K34</f>
        <v>27866889.499296021</v>
      </c>
      <c r="Q35" s="77">
        <f>Table137[[#This Row],[Faturamento Estimado]]*7.5%</f>
        <v>2090016.7124472014</v>
      </c>
      <c r="R35" s="71">
        <f>Table137[[#This Row],[Total Usuários Estimado]]*2.99</f>
        <v>769861.44745147787</v>
      </c>
      <c r="S35" s="72">
        <f>Table137[[#This Row],[Média Alunos Estimada 
Total Personal]]-(Table137[[#This Row],[Tx. % Real Alunos 
não ativados]]*Table137[[#This Row],[Média Alunos Estimada 
Total Personal]])</f>
        <v>45</v>
      </c>
      <c r="T35" s="66">
        <v>0.1</v>
      </c>
      <c r="U35" s="14">
        <f>Table137[[#This Row],[Ticket Médio Aluno Personal]]*Table137[[#This Row],[Média Real Alunos 
Ativos Personal]]</f>
        <v>5300.7702183023675</v>
      </c>
      <c r="V35" s="62">
        <f>Table137[[#This Row],[Média Real Alunos 
Ativos Personal]]*Table137[[#This Row],[Personais 
Ativos Mês]]</f>
        <v>227187.12791210241</v>
      </c>
      <c r="W35" s="14">
        <v>4926.63</v>
      </c>
      <c r="X35" s="62"/>
      <c r="Y35" s="14">
        <f>Table137[[#This Row],[Média Real por Personal]]*K34</f>
        <v>25080200.549366422</v>
      </c>
      <c r="Z35" s="14">
        <f>Table137[[#This Row],[Faturamento 
Real Bruto]]*5%</f>
        <v>1254010.0274683211</v>
      </c>
      <c r="AA35" s="14">
        <f>Table137[[#This Row],[Total Real 
Usuários ]]*3.99</f>
        <v>906476.64036928862</v>
      </c>
      <c r="AB35" s="14">
        <f>AB34+Table137[[#This Row],[Faturamento 
Real Bruto]]</f>
        <v>66503700.412397169</v>
      </c>
      <c r="AC35" s="14">
        <f>AC34+Table137[[#This Row],[Receita 
MUVX (7,5%)]]</f>
        <v>3325185.020619859</v>
      </c>
      <c r="AD35" s="14">
        <f>Table137[[#This Row],[Investimento no Mês (Growth) ** 50%**]]+AD34</f>
        <v>810076.73943749978</v>
      </c>
      <c r="AE35" s="73">
        <f>Table137[[#This Row],[Receita MUVX Acumulada]]/Table137[[#This Row],[Investimento Acumulado]]</f>
        <v>4.104777805283975</v>
      </c>
      <c r="AF35" s="73" t="e">
        <f>Table137[[#This Row],[ROI]]+AF34</f>
        <v>#DIV/0!</v>
      </c>
    </row>
    <row r="36" spans="1:32" s="86" customFormat="1">
      <c r="A36" s="79"/>
      <c r="B36" s="80">
        <f>SUBTOTAL(109,B22:B35)</f>
        <v>810076.73943749978</v>
      </c>
      <c r="C36" s="80">
        <f>SUBTOTAL(101,C22:C35)</f>
        <v>15.297854697079996</v>
      </c>
      <c r="D36" s="81">
        <f>SUBTOTAL(109,D22:D35)</f>
        <v>80438.905594263633</v>
      </c>
      <c r="E36" s="82">
        <f>SUBTOTAL(101,E25:E35)</f>
        <v>6.0909090909090913E-2</v>
      </c>
      <c r="F36" s="83">
        <f>SUBTOTAL(109,F22:F35)</f>
        <v>5609.5587138790715</v>
      </c>
      <c r="G36" s="83">
        <f>AVERAGE(G22:G35)</f>
        <v>1341.1335450244896</v>
      </c>
      <c r="H36" s="83">
        <f>Table137[[#This Row],[Investimento no Mês (Growth) ** 50%**]]/Table137[[#This Row],[Novos Personais Ativados]]</f>
        <v>144.41006516844581</v>
      </c>
      <c r="I36" s="84">
        <f>SUBTOTAL(101,I22:I35)</f>
        <v>3.3571428571428578E-2</v>
      </c>
      <c r="J36" s="83">
        <f>SUBTOTAL(109,J22:J35)</f>
        <v>932.51231686086339</v>
      </c>
      <c r="K36" s="83">
        <f>K35</f>
        <v>5048.6028424911647</v>
      </c>
      <c r="L36" s="83">
        <f>AVERAGE(L22:L35)</f>
        <v>50</v>
      </c>
      <c r="M36" s="85">
        <f>Table137[[#This Row],[Média Faturamento
Estimada Personal]]/Table137[[#This Row],[Média Alunos Estimada 
Total Personal]]</f>
        <v>100.31701100591545</v>
      </c>
      <c r="N36" s="80">
        <f>SUBTOTAL(101,N22:N35)</f>
        <v>5015.8505502957723</v>
      </c>
      <c r="O36" s="83">
        <f>Table137[[#This Row],[Personais 
Ativos Mês]]+(Table137[[#This Row],[Personais 
Ativos Mês]]*Table137[[#This Row],[Média Alunos Estimada 
Total Personal]])</f>
        <v>257478.74496704942</v>
      </c>
      <c r="P36" s="85">
        <f>SUBTOTAL(109,P22:P35)</f>
        <v>73893000.458219066</v>
      </c>
      <c r="Q36" s="85">
        <f>Table137[[#This Row],[Faturamento Estimado]]*5%</f>
        <v>3694650.0229109535</v>
      </c>
      <c r="R36" s="85">
        <f>SUM(R24:R35)</f>
        <v>2720933.5567328688</v>
      </c>
      <c r="S36" s="83">
        <f>Table137[[#This Row],[Média Alunos Estimada 
Total Personal]]-(Table137[[#This Row],[Tx. % Real Alunos 
não ativados]]*Table137[[#This Row],[Média Alunos Estimada 
Total Personal]])</f>
        <v>50</v>
      </c>
      <c r="T36" s="83"/>
      <c r="U36" s="85">
        <f>AVERAGE(U24:U35)</f>
        <v>4494.3938698717129</v>
      </c>
      <c r="V36" s="62"/>
      <c r="W36" s="62"/>
      <c r="X36" s="62"/>
      <c r="Y36" s="80">
        <f>SUBTOTAL(109,Y22:Y35)</f>
        <v>66503700.412397169</v>
      </c>
      <c r="Z36" s="80">
        <f>SUBTOTAL(109,Z22:Z35)</f>
        <v>3325185.020619859</v>
      </c>
      <c r="AA36" s="80">
        <f>SUM(AA24:AA35)</f>
        <v>3203286.6496590152</v>
      </c>
      <c r="AB36" s="80"/>
    </row>
    <row r="37" spans="1:32">
      <c r="A37" s="87"/>
      <c r="D37" s="15"/>
      <c r="E37" s="15"/>
      <c r="H37" s="62"/>
      <c r="M37" s="15"/>
      <c r="O37" s="15"/>
      <c r="P37" s="15"/>
      <c r="Q37" s="15"/>
      <c r="R37" s="15">
        <f>Table137[[#This Row],[Total Usuários Estimado]]*1.99</f>
        <v>0</v>
      </c>
      <c r="S37" s="62"/>
      <c r="V37" s="83"/>
      <c r="W37" s="83"/>
      <c r="X37" s="83"/>
      <c r="AA37" s="15"/>
    </row>
    <row r="38" spans="1:32">
      <c r="A38" s="87"/>
      <c r="D38" s="15"/>
      <c r="E38" s="89"/>
      <c r="F38" s="90"/>
      <c r="H38" s="62"/>
      <c r="J38" s="89" t="s">
        <v>253</v>
      </c>
      <c r="K38" s="90">
        <f>K36/130000</f>
        <v>3.8835406480701266E-2</v>
      </c>
      <c r="M38" s="15"/>
      <c r="O38" s="15"/>
      <c r="P38" s="15"/>
      <c r="Q38" s="15"/>
      <c r="R38" s="15">
        <f>Table137[[#This Row],[Total Usuários Estimado]]*1.99</f>
        <v>0</v>
      </c>
      <c r="S38" s="62"/>
      <c r="V38" s="62"/>
      <c r="W38" s="62"/>
      <c r="X38" s="62"/>
      <c r="Y38" s="93" t="s">
        <v>275</v>
      </c>
      <c r="Z38" s="89">
        <f>Z36*30%</f>
        <v>997555.5061859577</v>
      </c>
      <c r="AA38" s="89">
        <f>Table137[[#This Row],[Total Real 
Usuários ]]*0.199</f>
        <v>0</v>
      </c>
    </row>
    <row r="41" spans="1:32" s="59" customFormat="1" ht="54" customHeight="1">
      <c r="A41" s="54" t="s">
        <v>219</v>
      </c>
      <c r="B41" s="54" t="s">
        <v>278</v>
      </c>
      <c r="C41" s="54" t="s">
        <v>255</v>
      </c>
      <c r="D41" s="54" t="s">
        <v>265</v>
      </c>
      <c r="E41" s="54" t="s">
        <v>266</v>
      </c>
      <c r="F41" s="54" t="s">
        <v>230</v>
      </c>
      <c r="G41" s="54" t="s">
        <v>231</v>
      </c>
      <c r="H41" s="54" t="s">
        <v>267</v>
      </c>
      <c r="I41" s="54" t="s">
        <v>233</v>
      </c>
      <c r="J41" s="54" t="s">
        <v>234</v>
      </c>
      <c r="K41" s="54" t="s">
        <v>235</v>
      </c>
      <c r="L41" s="54" t="s">
        <v>236</v>
      </c>
      <c r="M41" s="54" t="s">
        <v>237</v>
      </c>
      <c r="N41" s="54" t="s">
        <v>238</v>
      </c>
      <c r="O41" s="54" t="s">
        <v>239</v>
      </c>
      <c r="P41" s="54" t="s">
        <v>240</v>
      </c>
      <c r="Q41" s="54" t="s">
        <v>277</v>
      </c>
      <c r="R41" s="54" t="s">
        <v>269</v>
      </c>
      <c r="S41" s="55" t="s">
        <v>242</v>
      </c>
      <c r="T41" s="55" t="s">
        <v>243</v>
      </c>
      <c r="U41" s="55" t="s">
        <v>244</v>
      </c>
      <c r="V41" s="55" t="s">
        <v>245</v>
      </c>
      <c r="W41" s="55" t="s">
        <v>270</v>
      </c>
      <c r="X41" s="55" t="s">
        <v>271</v>
      </c>
      <c r="Y41" s="55" t="s">
        <v>246</v>
      </c>
      <c r="Z41" s="55" t="s">
        <v>272</v>
      </c>
      <c r="AA41" s="55" t="s">
        <v>273</v>
      </c>
      <c r="AB41" s="55" t="s">
        <v>248</v>
      </c>
      <c r="AC41" s="58" t="s">
        <v>249</v>
      </c>
      <c r="AD41" s="58" t="s">
        <v>250</v>
      </c>
      <c r="AE41" s="54" t="s">
        <v>251</v>
      </c>
      <c r="AF41" s="54" t="s">
        <v>252</v>
      </c>
    </row>
    <row r="42" spans="1:32">
      <c r="A42" s="87">
        <v>45962</v>
      </c>
      <c r="B42" s="61">
        <v>0</v>
      </c>
      <c r="C42" s="61">
        <v>25</v>
      </c>
      <c r="D42" s="62">
        <f>Table1378[[#This Row],[Investimento no Mês (Growth) ** 10%**]]/Table1378[[#This Row],[CPL 
(cadastro)]]</f>
        <v>0</v>
      </c>
      <c r="E42" s="63">
        <v>0</v>
      </c>
      <c r="F42" s="62">
        <f>Table1378[[#This Row],[Novos Cadastros 
no App Personal]]*Table1378[[#This Row],[Tx. % Ativação Personais (Conversão)]]</f>
        <v>0</v>
      </c>
      <c r="G42" s="62">
        <f>Table1378[[#This Row],[Novos Personais Ativados]]</f>
        <v>0</v>
      </c>
      <c r="H42" s="62">
        <f>IFERROR(Table1378[[#This Row],[Investimento no Mês (Growth) ** 10%**]]/Table1378[[#This Row],[Novos Personais Ativados]],0)</f>
        <v>0</v>
      </c>
      <c r="I42" s="66">
        <v>0</v>
      </c>
      <c r="J42" s="67">
        <f>Table1378[[#This Row],[Personais 
Totais]]*Table1378[[#This Row],[Tx. % Churn]]</f>
        <v>0</v>
      </c>
      <c r="K42" s="62">
        <f>Table1378[[#This Row],[Personais 
Totais]]-Table1378[[#This Row],[Qtde. Churn 
no Mês]]</f>
        <v>0</v>
      </c>
      <c r="L42" s="68"/>
      <c r="M42" s="69" t="s">
        <v>274</v>
      </c>
      <c r="N42" s="70" t="s">
        <v>274</v>
      </c>
      <c r="O42" s="62">
        <f>Table1378[[#This Row],[Personais 
Ativos Mês]]+(Table1378[[#This Row],[Personais 
Ativos Mês]]*Table1378[[#This Row],[Média Alunos Estimada 
Total Personal]])</f>
        <v>0</v>
      </c>
      <c r="P42" s="71" t="s">
        <v>274</v>
      </c>
      <c r="Q42" s="71" t="s">
        <v>274</v>
      </c>
      <c r="R42" s="71">
        <f>Table1378[[#This Row],[Total Usuários Estimado]]*2.99</f>
        <v>0</v>
      </c>
      <c r="S42" s="72">
        <f>Table1378[[#This Row],[Média Alunos Estimada 
Total Personal]]-(Table1378[[#This Row],[Tx. % Real Alunos 
não ativados]]*Table1378[[#This Row],[Média Alunos Estimada 
Total Personal]])</f>
        <v>0</v>
      </c>
      <c r="T42" s="66">
        <v>0.54</v>
      </c>
      <c r="U42" s="14" t="e">
        <f>Y42/K42</f>
        <v>#DIV/0!</v>
      </c>
      <c r="V42" s="62">
        <f>Table1378[[#This Row],[Média Real Alunos 
Ativos Personal]]*Table1378[[#This Row],[Personais 
Ativos Mês]]</f>
        <v>0</v>
      </c>
      <c r="W42" s="14">
        <v>390.06</v>
      </c>
      <c r="X42" s="62"/>
      <c r="Y42" s="14">
        <v>0</v>
      </c>
      <c r="Z42" s="14">
        <v>0</v>
      </c>
      <c r="AA42" s="14">
        <f>Table1378[[#This Row],[Total Real 
Usuários ]]*3.99</f>
        <v>0</v>
      </c>
      <c r="AB42" s="14">
        <f>Table1378[[#This Row],[Faturamento 
Real Bruto]]</f>
        <v>0</v>
      </c>
      <c r="AC42" s="14">
        <v>0</v>
      </c>
      <c r="AD42" s="14">
        <f>Table1378[[#This Row],[Investimento no Mês (Growth) ** 10%**]]</f>
        <v>0</v>
      </c>
      <c r="AE42" s="73">
        <v>0</v>
      </c>
      <c r="AF42" s="74">
        <v>0</v>
      </c>
    </row>
    <row r="43" spans="1:32">
      <c r="A43" s="87">
        <v>45992</v>
      </c>
      <c r="B43" s="61">
        <v>0</v>
      </c>
      <c r="C43" s="61">
        <v>100</v>
      </c>
      <c r="D43" s="62">
        <f>Table1378[[#This Row],[Investimento no Mês (Growth) ** 10%**]]/Table1378[[#This Row],[CPL 
(cadastro)]]</f>
        <v>0</v>
      </c>
      <c r="E43" s="63">
        <v>0</v>
      </c>
      <c r="F43" s="62">
        <f>Table1378[[#This Row],[Novos Cadastros 
no App Personal]]*Table1378[[#This Row],[Tx. % Ativação Personais (Conversão)]]</f>
        <v>0</v>
      </c>
      <c r="G43" s="62">
        <f>Table1378[[#This Row],[Novos Personais Ativados]]+G42</f>
        <v>0</v>
      </c>
      <c r="H43" s="62">
        <f>IFERROR(Table1378[[#This Row],[Investimento no Mês (Growth) ** 10%**]]/Table1378[[#This Row],[Novos Personais Ativados]],0)</f>
        <v>0</v>
      </c>
      <c r="I43" s="66">
        <v>0</v>
      </c>
      <c r="J43" s="67">
        <f>Table1378[[#This Row],[Personais 
Totais]]*Table1378[[#This Row],[Tx. % Churn]]</f>
        <v>0</v>
      </c>
      <c r="K43" s="62">
        <f>Table1378[[#This Row],[Personais 
Totais]]-Table1378[[#This Row],[Qtde. Churn 
no Mês]]</f>
        <v>0</v>
      </c>
      <c r="L43" s="68"/>
      <c r="M43" s="61"/>
      <c r="N43" s="76">
        <f>Table1378[[#This Row],[Média Alunos Estimada 
Total Personal]]*Table1378[[#This Row],[Ticket Médio Aluno Personal]]</f>
        <v>0</v>
      </c>
      <c r="O43" s="62">
        <f>Table1378[[#This Row],[Personais 
Ativos Mês]]+(Table1378[[#This Row],[Personais 
Ativos Mês]]*Table1378[[#This Row],[Média Alunos Estimada 
Total Personal]])</f>
        <v>0</v>
      </c>
      <c r="P43" s="77">
        <f>Table1378[[#This Row],[Média Faturamento
Estimada Personal]]*K42</f>
        <v>0</v>
      </c>
      <c r="Q43" s="77">
        <f>Table1378[[#This Row],[Faturamento Estimado]]*7.5%</f>
        <v>0</v>
      </c>
      <c r="R43" s="71">
        <f>Table1378[[#This Row],[Total Usuários Estimado]]*2.99</f>
        <v>0</v>
      </c>
      <c r="S43" s="72">
        <f>Table1378[[#This Row],[Média Alunos Estimada 
Total Personal]]-(Table1378[[#This Row],[Tx. % Real Alunos 
não ativados]]*Table1378[[#This Row],[Média Alunos Estimada 
Total Personal]])</f>
        <v>0</v>
      </c>
      <c r="T43" s="66">
        <v>0.54</v>
      </c>
      <c r="U43" s="14">
        <f>Table1378[[#This Row],[Ticket Médio Aluno Personal]]*Table1378[[#This Row],[Média Real Alunos 
Ativos Personal]]</f>
        <v>0</v>
      </c>
      <c r="V43" s="62">
        <f>Table1378[[#This Row],[Média Real Alunos 
Ativos Personal]]*Table1378[[#This Row],[Personais 
Ativos Mês]]</f>
        <v>0</v>
      </c>
      <c r="W43" s="14">
        <v>499.27</v>
      </c>
      <c r="X43" s="62"/>
      <c r="Y43" s="14">
        <f>Table1378[[#This Row],[Média Real por Personal]]*K42</f>
        <v>0</v>
      </c>
      <c r="Z43" s="14">
        <f>Table1378[[#This Row],[Faturamento 
Real Bruto]]*5%</f>
        <v>0</v>
      </c>
      <c r="AA43" s="14">
        <f>Table1378[[#This Row],[Total Real 
Usuários ]]*3.99</f>
        <v>0</v>
      </c>
      <c r="AB43" s="14">
        <f>Table1378[[#This Row],[Faturamento 
Real Bruto]]+Y42</f>
        <v>0</v>
      </c>
      <c r="AC43" s="14">
        <f>Table1378[[#This Row],[Receita 
MUVX (7,5%)]]+Z42</f>
        <v>0</v>
      </c>
      <c r="AD43" s="14">
        <f>Table1378[[#This Row],[Investimento no Mês (Growth) ** 10%**]]+AD42</f>
        <v>0</v>
      </c>
      <c r="AE43" s="73" t="e">
        <f>Table1378[[#This Row],[Receita MUVX Acumulada]]/Table1378[[#This Row],[Investimento Acumulado]]</f>
        <v>#DIV/0!</v>
      </c>
      <c r="AF43" s="73" t="e">
        <f>Table1378[[#This Row],[ROI]]+AF42</f>
        <v>#DIV/0!</v>
      </c>
    </row>
    <row r="44" spans="1:32">
      <c r="A44" s="87">
        <v>46023</v>
      </c>
      <c r="B44" s="61">
        <f>B62*0.2</f>
        <v>0</v>
      </c>
      <c r="C44" s="61">
        <v>12</v>
      </c>
      <c r="D44" s="62">
        <f>Table1378[[#This Row],[Investimento no Mês (Growth) ** 10%**]]/Table1378[[#This Row],[CPL 
(cadastro)]]</f>
        <v>0</v>
      </c>
      <c r="E44" s="63">
        <v>0</v>
      </c>
      <c r="F44" s="62">
        <f>Table1378[[#This Row],[Novos Cadastros 
no App Personal]]*Table1378[[#This Row],[Tx. % Ativação Personais (Conversão)]]</f>
        <v>0</v>
      </c>
      <c r="G44" s="62">
        <f>Table1378[[#This Row],[Novos Personais Ativados]]+G43</f>
        <v>0</v>
      </c>
      <c r="H44" s="62">
        <f>IFERROR(Table1378[[#This Row],[Investimento no Mês (Growth) ** 10%**]]/Table1378[[#This Row],[Novos Personais Ativados]],0)</f>
        <v>0</v>
      </c>
      <c r="I44" s="66">
        <v>0</v>
      </c>
      <c r="J44" s="67">
        <f>Table1378[[#This Row],[Personais 
Totais]]*Table1378[[#This Row],[Tx. % Churn]]</f>
        <v>0</v>
      </c>
      <c r="K44" s="62">
        <f>Table1378[[#This Row],[Personais 
Totais]]-Table1378[[#This Row],[Qtde. Churn 
no Mês]]</f>
        <v>0</v>
      </c>
      <c r="L44" s="68">
        <v>250</v>
      </c>
      <c r="M44" s="61">
        <v>120</v>
      </c>
      <c r="N44" s="76">
        <f>Table1378[[#This Row],[Média Alunos Estimada 
Total Personal]]*Table1378[[#This Row],[Ticket Médio Aluno Personal]]</f>
        <v>30000</v>
      </c>
      <c r="O44" s="62">
        <v>0</v>
      </c>
      <c r="P44" s="77">
        <f>Table1378[[#This Row],[Média Faturamento
Estimada Personal]]*K43</f>
        <v>0</v>
      </c>
      <c r="Q44" s="77">
        <f>Table1378[[#This Row],[Faturamento Estimado]]*7.5%</f>
        <v>0</v>
      </c>
      <c r="R44" s="71">
        <f>Table1378[[#This Row],[Total Usuários Estimado]]*2.99</f>
        <v>0</v>
      </c>
      <c r="S44" s="72">
        <f>Table1378[[#This Row],[Média Alunos Estimada 
Total Personal]]-(Table1378[[#This Row],[Tx. % Real Alunos 
não ativados]]*Table1378[[#This Row],[Média Alunos Estimada 
Total Personal]])</f>
        <v>115</v>
      </c>
      <c r="T44" s="66">
        <v>0.54</v>
      </c>
      <c r="U44" s="14">
        <f>Table1378[[#This Row],[Ticket Médio Aluno Personal]]*Table1378[[#This Row],[Média Real Alunos 
Ativos Personal]]</f>
        <v>13800</v>
      </c>
      <c r="V44" s="62">
        <v>0</v>
      </c>
      <c r="W44" s="14">
        <v>874.55</v>
      </c>
      <c r="X44" s="62"/>
      <c r="Y44" s="14">
        <f>Table1378[[#This Row],[Média Real por Personal]]*K43</f>
        <v>0</v>
      </c>
      <c r="Z44" s="14">
        <f>Table1378[[#This Row],[Faturamento 
Real Bruto]]*5%</f>
        <v>0</v>
      </c>
      <c r="AA44" s="14">
        <f>Table1378[[#This Row],[Total Real 
Usuários ]]*3.99</f>
        <v>0</v>
      </c>
      <c r="AB44" s="14">
        <f>AB43+Table1378[[#This Row],[Faturamento 
Real Bruto]]</f>
        <v>0</v>
      </c>
      <c r="AC44" s="14">
        <f>AC43+Table1378[[#This Row],[Receita 
MUVX (7,5%)]]</f>
        <v>0</v>
      </c>
      <c r="AD44" s="14">
        <f>Table1378[[#This Row],[Investimento no Mês (Growth) ** 10%**]]+AD43</f>
        <v>0</v>
      </c>
      <c r="AE44" s="73" t="e">
        <f>Table1378[[#This Row],[Receita MUVX Acumulada]]/Table1378[[#This Row],[Investimento Acumulado]]</f>
        <v>#DIV/0!</v>
      </c>
      <c r="AF44" s="73" t="e">
        <f>Table1378[[#This Row],[ROI]]+AF43</f>
        <v>#DIV/0!</v>
      </c>
    </row>
    <row r="45" spans="1:32">
      <c r="A45" s="87">
        <v>46054</v>
      </c>
      <c r="B45" s="61">
        <f>B63*0.1</f>
        <v>0</v>
      </c>
      <c r="C45" s="61">
        <f>C44*0.98</f>
        <v>11.76</v>
      </c>
      <c r="D45" s="62">
        <f>Table1378[[#This Row],[Investimento no Mês (Growth) ** 10%**]]/Table1378[[#This Row],[CPL 
(cadastro)]]</f>
        <v>0</v>
      </c>
      <c r="E45" s="63">
        <v>0.04</v>
      </c>
      <c r="F45" s="62">
        <f>Table1378[[#This Row],[Novos Cadastros 
no App Personal]]*Table1378[[#This Row],[Tx. % Ativação Personais (Conversão)]]</f>
        <v>0</v>
      </c>
      <c r="G45" s="62">
        <f>Table1378[[#This Row],[Novos Personais Ativados]]+G44</f>
        <v>0</v>
      </c>
      <c r="H45" s="62">
        <f>IFERROR(Table1378[[#This Row],[Investimento no Mês (Growth) ** 10%**]]/Table1378[[#This Row],[Novos Personais Ativados]],0)</f>
        <v>0</v>
      </c>
      <c r="I45" s="66">
        <v>0.04</v>
      </c>
      <c r="J45" s="67">
        <f>Table1378[[#This Row],[Personais 
Totais]]*Table1378[[#This Row],[Tx. % Churn]]</f>
        <v>0</v>
      </c>
      <c r="K45" s="62">
        <f>Table1378[[#This Row],[Personais 
Totais]]-Table1378[[#This Row],[Qtde. Churn 
no Mês]]</f>
        <v>0</v>
      </c>
      <c r="L45" s="68">
        <v>250</v>
      </c>
      <c r="M45" s="61">
        <f t="shared" ref="M45:N55" si="6">M44*1.015</f>
        <v>121.79999999999998</v>
      </c>
      <c r="N45" s="76">
        <f t="shared" si="6"/>
        <v>30449.999999999996</v>
      </c>
      <c r="O45" s="62">
        <v>0</v>
      </c>
      <c r="P45" s="77">
        <f>Table1378[[#This Row],[Média Faturamento
Estimada Personal]]*K44</f>
        <v>0</v>
      </c>
      <c r="Q45" s="77">
        <f>Table1378[[#This Row],[Faturamento Estimado]]*7.5%</f>
        <v>0</v>
      </c>
      <c r="R45" s="71">
        <f>Table1378[[#This Row],[Total Usuários Estimado]]*2.99</f>
        <v>0</v>
      </c>
      <c r="S45" s="72">
        <f>Table1378[[#This Row],[Média Alunos Estimada 
Total Personal]]-(Table1378[[#This Row],[Tx. % Real Alunos 
não ativados]]*Table1378[[#This Row],[Média Alunos Estimada 
Total Personal]])</f>
        <v>150</v>
      </c>
      <c r="T45" s="66">
        <v>0.4</v>
      </c>
      <c r="U45" s="14">
        <f>Table1378[[#This Row],[Ticket Médio Aluno Personal]]*Table1378[[#This Row],[Média Real Alunos 
Ativos Personal]]</f>
        <v>18269.999999999996</v>
      </c>
      <c r="V45" s="62">
        <f>Table1378[[#This Row],[Média Real Alunos 
Ativos Personal]]*Table1378[[#This Row],[Personais 
Ativos Mês]]</f>
        <v>0</v>
      </c>
      <c r="W45" s="14">
        <v>1030.71</v>
      </c>
      <c r="X45" s="62"/>
      <c r="Y45" s="14">
        <f>Table1378[[#This Row],[Média Real por Personal]]*K44</f>
        <v>0</v>
      </c>
      <c r="Z45" s="14">
        <f>Table1378[[#This Row],[Faturamento 
Real Bruto]]*5%</f>
        <v>0</v>
      </c>
      <c r="AA45" s="14">
        <f>Table1378[[#This Row],[Total Real 
Usuários ]]*3.99</f>
        <v>0</v>
      </c>
      <c r="AB45" s="14">
        <f>AB44+Table1378[[#This Row],[Faturamento 
Real Bruto]]</f>
        <v>0</v>
      </c>
      <c r="AC45" s="14">
        <f>AC44+Table1378[[#This Row],[Receita 
MUVX (7,5%)]]</f>
        <v>0</v>
      </c>
      <c r="AD45" s="14">
        <f>Table1378[[#This Row],[Investimento no Mês (Growth) ** 10%**]]+AD44</f>
        <v>0</v>
      </c>
      <c r="AE45" s="73" t="e">
        <f>Table1378[[#This Row],[Receita MUVX Acumulada]]/Table1378[[#This Row],[Investimento Acumulado]]</f>
        <v>#DIV/0!</v>
      </c>
      <c r="AF45" s="73" t="e">
        <f>Table1378[[#This Row],[ROI]]+AF44</f>
        <v>#DIV/0!</v>
      </c>
    </row>
    <row r="46" spans="1:32">
      <c r="A46" s="87">
        <v>46082</v>
      </c>
      <c r="B46" s="61">
        <f t="shared" ref="B46:B55" si="7">B64*0.1</f>
        <v>1000</v>
      </c>
      <c r="C46" s="61">
        <f>C45*0.98</f>
        <v>11.524799999999999</v>
      </c>
      <c r="D46" s="62">
        <f>Table1378[[#This Row],[Investimento no Mês (Growth) ** 10%**]]/Table1378[[#This Row],[CPL 
(cadastro)]]</f>
        <v>86.769401638206304</v>
      </c>
      <c r="E46" s="63">
        <v>0.03</v>
      </c>
      <c r="F46" s="62">
        <f>Table1378[[#This Row],[Novos Cadastros 
no App Personal]]*Table1378[[#This Row],[Tx. % Ativação Personais (Conversão)]]</f>
        <v>2.603082049146189</v>
      </c>
      <c r="G46" s="62">
        <f>Table1378[[#This Row],[Novos Personais Ativados]]+G45</f>
        <v>2.603082049146189</v>
      </c>
      <c r="H46" s="62">
        <f>IFERROR(Table1378[[#This Row],[Investimento no Mês (Growth) ** 10%**]]/Table1378[[#This Row],[Novos Personais Ativados]],0)</f>
        <v>384.16</v>
      </c>
      <c r="I46" s="66">
        <v>0.06</v>
      </c>
      <c r="J46" s="67">
        <f>Table1378[[#This Row],[Personais 
Totais]]*Table1378[[#This Row],[Tx. % Churn]]</f>
        <v>0.15618492294877134</v>
      </c>
      <c r="K46" s="62">
        <f>Table1378[[#This Row],[Personais 
Totais]]-Table1378[[#This Row],[Qtde. Churn 
no Mês]]</f>
        <v>2.4468971261974177</v>
      </c>
      <c r="L46" s="68">
        <v>250</v>
      </c>
      <c r="M46" s="61">
        <f t="shared" si="6"/>
        <v>123.62699999999997</v>
      </c>
      <c r="N46" s="76">
        <f t="shared" si="6"/>
        <v>30906.749999999993</v>
      </c>
      <c r="O46" s="62">
        <f>Table1378[[#This Row],[Personais 
Ativos Mês]]+(Table1378[[#This Row],[Personais 
Ativos Mês]]*Table1378[[#This Row],[Média Alunos Estimada 
Total Personal]])</f>
        <v>614.17117867555191</v>
      </c>
      <c r="P46" s="77">
        <f>Table1378[[#This Row],[Média Faturamento
Estimada Personal]]*K45</f>
        <v>0</v>
      </c>
      <c r="Q46" s="77">
        <f>Table1378[[#This Row],[Faturamento Estimado]]*7.5%</f>
        <v>0</v>
      </c>
      <c r="R46" s="71">
        <f>Table1378[[#This Row],[Total Usuários Estimado]]*2.99</f>
        <v>1836.3718242399004</v>
      </c>
      <c r="S46" s="72">
        <f>Table1378[[#This Row],[Média Alunos Estimada 
Total Personal]]-(Table1378[[#This Row],[Tx. % Real Alunos 
não ativados]]*Table1378[[#This Row],[Média Alunos Estimada 
Total Personal]])</f>
        <v>175</v>
      </c>
      <c r="T46" s="66">
        <v>0.3</v>
      </c>
      <c r="U46" s="14">
        <f>Table1378[[#This Row],[Ticket Médio Aluno Personal]]*Table1378[[#This Row],[Média Real Alunos 
Ativos Personal]]</f>
        <v>21634.724999999995</v>
      </c>
      <c r="V46" s="62">
        <f>Table1378[[#This Row],[Média Real Alunos 
Ativos Personal]]*Table1378[[#This Row],[Personais 
Ativos Mês]]</f>
        <v>428.20699708454811</v>
      </c>
      <c r="W46" s="14">
        <v>1177.8699999999999</v>
      </c>
      <c r="X46" s="62"/>
      <c r="Y46" s="14">
        <f>Table1378[[#This Row],[Média Real por Personal]]*K45</f>
        <v>0</v>
      </c>
      <c r="Z46" s="14">
        <f>Table1378[[#This Row],[Faturamento 
Real Bruto]]*5%</f>
        <v>0</v>
      </c>
      <c r="AA46" s="14">
        <f>Table1378[[#This Row],[Total Real 
Usuários ]]*3.99</f>
        <v>1708.545918367347</v>
      </c>
      <c r="AB46" s="14">
        <f>AB45+Table1378[[#This Row],[Faturamento 
Real Bruto]]</f>
        <v>0</v>
      </c>
      <c r="AC46" s="14">
        <f>AC45+Table1378[[#This Row],[Receita 
MUVX (7,5%)]]</f>
        <v>0</v>
      </c>
      <c r="AD46" s="14">
        <f>Table1378[[#This Row],[Investimento no Mês (Growth) ** 10%**]]+AD45</f>
        <v>1000</v>
      </c>
      <c r="AE46" s="73">
        <f>Table1378[[#This Row],[Receita MUVX Acumulada]]/Table1378[[#This Row],[Investimento Acumulado]]</f>
        <v>0</v>
      </c>
      <c r="AF46" s="73" t="e">
        <f>Table1378[[#This Row],[ROI]]+AF45</f>
        <v>#DIV/0!</v>
      </c>
    </row>
    <row r="47" spans="1:32">
      <c r="A47" s="87">
        <v>46113</v>
      </c>
      <c r="B47" s="61">
        <f t="shared" si="7"/>
        <v>1000</v>
      </c>
      <c r="C47" s="61">
        <f t="shared" ref="C46:C55" si="8">C46*0.98</f>
        <v>11.294303999999999</v>
      </c>
      <c r="D47" s="62">
        <f>Table1378[[#This Row],[Investimento no Mês (Growth) ** 10%**]]/Table1378[[#This Row],[CPL 
(cadastro)]]</f>
        <v>88.540205753271749</v>
      </c>
      <c r="E47" s="63">
        <v>0.04</v>
      </c>
      <c r="F47" s="62">
        <f>Table1378[[#This Row],[Novos Cadastros 
no App Personal]]*Table1378[[#This Row],[Tx. % Ativação Personais (Conversão)]]</f>
        <v>3.54160823013087</v>
      </c>
      <c r="G47" s="62">
        <f>Table1378[[#This Row],[Novos Personais Ativados]]+G46</f>
        <v>6.144690279277059</v>
      </c>
      <c r="H47" s="62">
        <f>IFERROR(Table1378[[#This Row],[Investimento no Mês (Growth) ** 10%**]]/Table1378[[#This Row],[Novos Personais Ativados]],0)</f>
        <v>282.35759999999993</v>
      </c>
      <c r="I47" s="66">
        <v>0.04</v>
      </c>
      <c r="J47" s="67">
        <f>Table1378[[#This Row],[Personais 
Totais]]*Table1378[[#This Row],[Tx. % Churn]]</f>
        <v>0.24578761117108236</v>
      </c>
      <c r="K47" s="62">
        <f>Table1378[[#This Row],[Personais 
Totais]]-Table1378[[#This Row],[Qtde. Churn 
no Mês]]</f>
        <v>5.8989026681059764</v>
      </c>
      <c r="L47" s="68">
        <v>250</v>
      </c>
      <c r="M47" s="61">
        <f t="shared" si="6"/>
        <v>125.48140499999995</v>
      </c>
      <c r="N47" s="76">
        <f t="shared" si="6"/>
        <v>31370.351249999989</v>
      </c>
      <c r="O47" s="62">
        <f>Table1378[[#This Row],[Personais 
Ativos Mês]]+(Table1378[[#This Row],[Personais 
Ativos Mês]]*Table1378[[#This Row],[Média Alunos Estimada 
Total Personal]])</f>
        <v>1480.6245696946003</v>
      </c>
      <c r="P47" s="77">
        <f>Table1378[[#This Row],[Média Faturamento
Estimada Personal]]*K46</f>
        <v>76760.022321428551</v>
      </c>
      <c r="Q47" s="77">
        <f>Table1378[[#This Row],[Faturamento Estimado]]*7.5%</f>
        <v>5757.0016741071413</v>
      </c>
      <c r="R47" s="71">
        <f>Table1378[[#This Row],[Total Usuários Estimado]]*2.99</f>
        <v>4427.0674633868548</v>
      </c>
      <c r="S47" s="72">
        <f>Table1378[[#This Row],[Média Alunos Estimada 
Total Personal]]-(Table1378[[#This Row],[Tx. % Real Alunos 
não ativados]]*Table1378[[#This Row],[Média Alunos Estimada 
Total Personal]])</f>
        <v>225</v>
      </c>
      <c r="T47" s="66">
        <v>0.1</v>
      </c>
      <c r="U47" s="14">
        <f>Table1378[[#This Row],[Ticket Médio Aluno Personal]]*Table1378[[#This Row],[Média Real Alunos 
Ativos Personal]]</f>
        <v>28233.31612499999</v>
      </c>
      <c r="V47" s="62">
        <f>Table1378[[#This Row],[Média Real Alunos 
Ativos Personal]]*Table1378[[#This Row],[Personais 
Ativos Mês]]</f>
        <v>1327.2531003238446</v>
      </c>
      <c r="W47" s="14">
        <v>1404.73</v>
      </c>
      <c r="X47" s="62"/>
      <c r="Y47" s="14">
        <f>Table1378[[#This Row],[Média Real por Personal]]*K46</f>
        <v>69084.020089285696</v>
      </c>
      <c r="Z47" s="14">
        <f>Table1378[[#This Row],[Faturamento 
Real Bruto]]*5%</f>
        <v>3454.2010044642848</v>
      </c>
      <c r="AA47" s="14">
        <f>Table1378[[#This Row],[Total Real 
Usuários ]]*3.99</f>
        <v>5295.73987029214</v>
      </c>
      <c r="AB47" s="14">
        <f>AB46+Table1378[[#This Row],[Faturamento 
Real Bruto]]</f>
        <v>69084.020089285696</v>
      </c>
      <c r="AC47" s="14">
        <f>AC46+Table1378[[#This Row],[Receita 
MUVX (7,5%)]]</f>
        <v>3454.2010044642848</v>
      </c>
      <c r="AD47" s="14">
        <f>Table1378[[#This Row],[Investimento no Mês (Growth) ** 10%**]]+AD46</f>
        <v>2000</v>
      </c>
      <c r="AE47" s="73">
        <f>Table1378[[#This Row],[Receita MUVX Acumulada]]/Table1378[[#This Row],[Investimento Acumulado]]</f>
        <v>1.7271005022321424</v>
      </c>
      <c r="AF47" s="73" t="e">
        <f>Table1378[[#This Row],[ROI]]+AF46</f>
        <v>#DIV/0!</v>
      </c>
    </row>
    <row r="48" spans="1:32">
      <c r="A48" s="87">
        <v>46143</v>
      </c>
      <c r="B48" s="61">
        <f t="shared" si="7"/>
        <v>3000</v>
      </c>
      <c r="C48" s="61">
        <f t="shared" si="8"/>
        <v>11.068417919999998</v>
      </c>
      <c r="D48" s="62">
        <f>Table1378[[#This Row],[Investimento no Mês (Growth) ** 10%**]]/Table1378[[#This Row],[CPL 
(cadastro)]]</f>
        <v>271.04144618348494</v>
      </c>
      <c r="E48" s="63">
        <v>7.0000000000000007E-2</v>
      </c>
      <c r="F48" s="62">
        <f>Table1378[[#This Row],[Novos Cadastros 
no App Personal]]*Table1378[[#This Row],[Tx. % Ativação Personais (Conversão)]]</f>
        <v>18.972901232843949</v>
      </c>
      <c r="G48" s="62">
        <f>Table1378[[#This Row],[Novos Personais Ativados]]+G47</f>
        <v>25.11759151212101</v>
      </c>
      <c r="H48" s="62">
        <f>IFERROR(Table1378[[#This Row],[Investimento no Mês (Growth) ** 10%**]]/Table1378[[#This Row],[Novos Personais Ativados]],0)</f>
        <v>158.12025599999996</v>
      </c>
      <c r="I48" s="66">
        <v>0.05</v>
      </c>
      <c r="J48" s="67">
        <f>Table1378[[#This Row],[Personais 
Totais]]*Table1378[[#This Row],[Tx. % Churn]]</f>
        <v>1.2558795756060506</v>
      </c>
      <c r="K48" s="62">
        <f>Table1378[[#This Row],[Personais 
Totais]]-Table1378[[#This Row],[Qtde. Churn 
no Mês]]</f>
        <v>23.861711936514958</v>
      </c>
      <c r="L48" s="68">
        <v>250</v>
      </c>
      <c r="M48" s="61">
        <f t="shared" si="6"/>
        <v>127.36362607499994</v>
      </c>
      <c r="N48" s="76">
        <f t="shared" si="6"/>
        <v>31840.906518749987</v>
      </c>
      <c r="O48" s="62">
        <f>Table1378[[#This Row],[Personais 
Ativos Mês]]+(Table1378[[#This Row],[Personais 
Ativos Mês]]*Table1378[[#This Row],[Média Alunos Estimada 
Total Personal]])</f>
        <v>5989.2896960652552</v>
      </c>
      <c r="P48" s="77">
        <f>Table1378[[#This Row],[Média Faturamento
Estimada Personal]]*K47</f>
        <v>187826.40841836727</v>
      </c>
      <c r="Q48" s="77">
        <f>Table1378[[#This Row],[Faturamento Estimado]]*7.5%</f>
        <v>14086.980631377544</v>
      </c>
      <c r="R48" s="71">
        <f>Table1378[[#This Row],[Total Usuários Estimado]]*2.99</f>
        <v>17907.976191235113</v>
      </c>
      <c r="S48" s="72">
        <f>Table1378[[#This Row],[Média Alunos Estimada 
Total Personal]]-(Table1378[[#This Row],[Tx. % Real Alunos 
não ativados]]*Table1378[[#This Row],[Média Alunos Estimada 
Total Personal]])</f>
        <v>225</v>
      </c>
      <c r="T48" s="66">
        <v>0.1</v>
      </c>
      <c r="U48" s="14">
        <f>Table1378[[#This Row],[Ticket Médio Aluno Personal]]*Table1378[[#This Row],[Média Real Alunos 
Ativos Personal]]</f>
        <v>28656.815866874986</v>
      </c>
      <c r="V48" s="62">
        <f>Table1378[[#This Row],[Média Real Alunos 
Ativos Personal]]*Table1378[[#This Row],[Personais 
Ativos Mês]]</f>
        <v>5368.8851857158652</v>
      </c>
      <c r="W48" s="14">
        <v>1617.95</v>
      </c>
      <c r="X48" s="62"/>
      <c r="Y48" s="14">
        <f>Table1378[[#This Row],[Média Real por Personal]]*K47</f>
        <v>169043.76757653055</v>
      </c>
      <c r="Z48" s="14">
        <f>Table1378[[#This Row],[Faturamento 
Real Bruto]]*5%</f>
        <v>8452.1883788265277</v>
      </c>
      <c r="AA48" s="14">
        <f>Table1378[[#This Row],[Total Real 
Usuários ]]*3.99</f>
        <v>21421.851891006303</v>
      </c>
      <c r="AB48" s="14">
        <f>AB47+Table1378[[#This Row],[Faturamento 
Real Bruto]]</f>
        <v>238127.78766581626</v>
      </c>
      <c r="AC48" s="14">
        <f>AC47+Table1378[[#This Row],[Receita 
MUVX (7,5%)]]</f>
        <v>11906.389383290812</v>
      </c>
      <c r="AD48" s="14">
        <f>Table1378[[#This Row],[Investimento no Mês (Growth) ** 10%**]]+AD47</f>
        <v>5000</v>
      </c>
      <c r="AE48" s="73">
        <f>Table1378[[#This Row],[Receita MUVX Acumulada]]/Table1378[[#This Row],[Investimento Acumulado]]</f>
        <v>2.3812778766581624</v>
      </c>
      <c r="AF48" s="73" t="e">
        <f>Table1378[[#This Row],[ROI]]+AF47</f>
        <v>#DIV/0!</v>
      </c>
    </row>
    <row r="49" spans="1:32">
      <c r="A49" s="87">
        <v>46174</v>
      </c>
      <c r="B49" s="61">
        <f t="shared" si="7"/>
        <v>4000</v>
      </c>
      <c r="C49" s="61">
        <f t="shared" si="8"/>
        <v>10.847049561599999</v>
      </c>
      <c r="D49" s="62">
        <f>Table1378[[#This Row],[Investimento no Mês (Growth) ** 10%**]]/Table1378[[#This Row],[CPL 
(cadastro)]]</f>
        <v>368.7638723584829</v>
      </c>
      <c r="E49" s="63">
        <v>0.05</v>
      </c>
      <c r="F49" s="62">
        <f>Table1378[[#This Row],[Novos Cadastros 
no App Personal]]*Table1378[[#This Row],[Tx. % Ativação Personais (Conversão)]]</f>
        <v>18.438193617924146</v>
      </c>
      <c r="G49" s="62">
        <f>Table1378[[#This Row],[Novos Personais Ativados]]+G48</f>
        <v>43.555785130045152</v>
      </c>
      <c r="H49" s="62">
        <f>IFERROR(Table1378[[#This Row],[Investimento no Mês (Growth) ** 10%**]]/Table1378[[#This Row],[Novos Personais Ativados]],0)</f>
        <v>216.94099123199999</v>
      </c>
      <c r="I49" s="66">
        <v>0.05</v>
      </c>
      <c r="J49" s="67">
        <f>Table1378[[#This Row],[Personais 
Totais]]*Table1378[[#This Row],[Tx. % Churn]]</f>
        <v>2.1777892565022579</v>
      </c>
      <c r="K49" s="62">
        <f>Table1378[[#This Row],[Personais 
Totais]]-Table1378[[#This Row],[Qtde. Churn 
no Mês]]</f>
        <v>41.377995873542893</v>
      </c>
      <c r="L49" s="68">
        <v>250</v>
      </c>
      <c r="M49" s="61">
        <f t="shared" si="6"/>
        <v>129.27408046612493</v>
      </c>
      <c r="N49" s="76">
        <f t="shared" si="6"/>
        <v>32318.520116531236</v>
      </c>
      <c r="O49" s="62">
        <f>Table1378[[#This Row],[Personais 
Ativos Mês]]+(Table1378[[#This Row],[Personais 
Ativos Mês]]*Table1378[[#This Row],[Média Alunos Estimada 
Total Personal]])</f>
        <v>10385.876964259267</v>
      </c>
      <c r="P49" s="77">
        <f>Table1378[[#This Row],[Média Faturamento
Estimada Personal]]*K48</f>
        <v>771175.21723513212</v>
      </c>
      <c r="Q49" s="77">
        <f>Table1378[[#This Row],[Faturamento Estimado]]*7.5%</f>
        <v>57838.141292634908</v>
      </c>
      <c r="R49" s="71">
        <f>Table1378[[#This Row],[Total Usuários Estimado]]*2.99</f>
        <v>31053.772123135212</v>
      </c>
      <c r="S49" s="72">
        <f>Table1378[[#This Row],[Média Alunos Estimada 
Total Personal]]-(Table1378[[#This Row],[Tx. % Real Alunos 
não ativados]]*Table1378[[#This Row],[Média Alunos Estimada 
Total Personal]])</f>
        <v>225</v>
      </c>
      <c r="T49" s="66">
        <v>0.1</v>
      </c>
      <c r="U49" s="14">
        <f>Table1378[[#This Row],[Ticket Médio Aluno Personal]]*Table1378[[#This Row],[Média Real Alunos 
Ativos Personal]]</f>
        <v>29086.66810487811</v>
      </c>
      <c r="V49" s="62">
        <f>Table1378[[#This Row],[Média Real Alunos 
Ativos Personal]]*Table1378[[#This Row],[Personais 
Ativos Mês]]</f>
        <v>9310.0490715471515</v>
      </c>
      <c r="W49" s="14">
        <v>1904.26</v>
      </c>
      <c r="X49" s="62"/>
      <c r="Y49" s="14">
        <f>Table1378[[#This Row],[Média Real por Personal]]*K48</f>
        <v>694057.69551161886</v>
      </c>
      <c r="Z49" s="14">
        <f>Table1378[[#This Row],[Faturamento 
Real Bruto]]*5%</f>
        <v>34702.884775580947</v>
      </c>
      <c r="AA49" s="14">
        <f>Table1378[[#This Row],[Total Real 
Usuários ]]*3.99</f>
        <v>37147.095795473135</v>
      </c>
      <c r="AB49" s="14">
        <f>AB48+Table1378[[#This Row],[Faturamento 
Real Bruto]]</f>
        <v>932185.48317743512</v>
      </c>
      <c r="AC49" s="14">
        <f>AC48+Table1378[[#This Row],[Receita 
MUVX (7,5%)]]</f>
        <v>46609.274158871762</v>
      </c>
      <c r="AD49" s="14">
        <f>Table1378[[#This Row],[Investimento no Mês (Growth) ** 10%**]]+AD48</f>
        <v>9000</v>
      </c>
      <c r="AE49" s="73">
        <f>Table1378[[#This Row],[Receita MUVX Acumulada]]/Table1378[[#This Row],[Investimento Acumulado]]</f>
        <v>5.1788082398746402</v>
      </c>
      <c r="AF49" s="73" t="e">
        <f>Table1378[[#This Row],[ROI]]+AF48</f>
        <v>#DIV/0!</v>
      </c>
    </row>
    <row r="50" spans="1:32">
      <c r="A50" s="87">
        <v>46204</v>
      </c>
      <c r="B50" s="61">
        <f t="shared" si="7"/>
        <v>17480</v>
      </c>
      <c r="C50" s="61">
        <f t="shared" si="8"/>
        <v>10.630108570367998</v>
      </c>
      <c r="D50" s="62">
        <f>Table1378[[#This Row],[Investimento no Mês (Growth) ** 10%**]]/Table1378[[#This Row],[CPL 
(cadastro)]]</f>
        <v>1644.3858389862964</v>
      </c>
      <c r="E50" s="63">
        <v>0.06</v>
      </c>
      <c r="F50" s="62">
        <f>Table1378[[#This Row],[Novos Cadastros 
no App Personal]]*Table1378[[#This Row],[Tx. % Ativação Personais (Conversão)]]</f>
        <v>98.66315033917779</v>
      </c>
      <c r="G50" s="62">
        <f>Table1378[[#This Row],[Novos Personais Ativados]]+G49</f>
        <v>142.21893546922294</v>
      </c>
      <c r="H50" s="62">
        <f>IFERROR(Table1378[[#This Row],[Investimento no Mês (Growth) ** 10%**]]/Table1378[[#This Row],[Novos Personais Ativados]],0)</f>
        <v>177.16847617279996</v>
      </c>
      <c r="I50" s="66">
        <v>0.02</v>
      </c>
      <c r="J50" s="67">
        <f>Table1378[[#This Row],[Personais 
Totais]]*Table1378[[#This Row],[Tx. % Churn]]</f>
        <v>2.844378709384459</v>
      </c>
      <c r="K50" s="62">
        <f>Table1378[[#This Row],[Personais 
Totais]]-Table1378[[#This Row],[Qtde. Churn 
no Mês]]</f>
        <v>139.37455675983847</v>
      </c>
      <c r="L50" s="68">
        <v>250</v>
      </c>
      <c r="M50" s="61">
        <f t="shared" si="6"/>
        <v>131.2131916731168</v>
      </c>
      <c r="N50" s="76">
        <f t="shared" si="6"/>
        <v>32803.297918279204</v>
      </c>
      <c r="O50" s="62">
        <f>Table1378[[#This Row],[Personais 
Ativos Mês]]+(Table1378[[#This Row],[Personais 
Ativos Mês]]*Table1378[[#This Row],[Média Alunos Estimada 
Total Personal]])</f>
        <v>34983.013746719458</v>
      </c>
      <c r="P50" s="77">
        <f>Table1378[[#This Row],[Média Faturamento
Estimada Personal]]*K49</f>
        <v>1357334.725901155</v>
      </c>
      <c r="Q50" s="77">
        <f>Table1378[[#This Row],[Faturamento Estimado]]*7.5%</f>
        <v>101800.10444258663</v>
      </c>
      <c r="R50" s="71">
        <f>Table1378[[#This Row],[Total Usuários Estimado]]*2.99</f>
        <v>104599.21110269119</v>
      </c>
      <c r="S50" s="72">
        <f>Table1378[[#This Row],[Média Alunos Estimada 
Total Personal]]-(Table1378[[#This Row],[Tx. % Real Alunos 
não ativados]]*Table1378[[#This Row],[Média Alunos Estimada 
Total Personal]])</f>
        <v>225</v>
      </c>
      <c r="T50" s="66">
        <v>0.1</v>
      </c>
      <c r="U50" s="14">
        <f>Table1378[[#This Row],[Ticket Médio Aluno Personal]]*Table1378[[#This Row],[Média Real Alunos 
Ativos Personal]]</f>
        <v>29522.96812645128</v>
      </c>
      <c r="V50" s="62">
        <f>Table1378[[#This Row],[Média Real Alunos 
Ativos Personal]]*Table1378[[#This Row],[Personais 
Ativos Mês]]</f>
        <v>31359.275270963655</v>
      </c>
      <c r="W50" s="14">
        <v>2334.79</v>
      </c>
      <c r="X50" s="62"/>
      <c r="Y50" s="14">
        <f>Table1378[[#This Row],[Média Real por Personal]]*K49</f>
        <v>1221601.2533110394</v>
      </c>
      <c r="Z50" s="14">
        <f>Table1378[[#This Row],[Faturamento 
Real Bruto]]*5%</f>
        <v>61080.062665551974</v>
      </c>
      <c r="AA50" s="14">
        <f>Table1378[[#This Row],[Total Real 
Usuários ]]*3.99</f>
        <v>125123.50833114499</v>
      </c>
      <c r="AB50" s="14">
        <f>AB49+Table1378[[#This Row],[Faturamento 
Real Bruto]]</f>
        <v>2153786.7364884745</v>
      </c>
      <c r="AC50" s="14">
        <f>AC49+Table1378[[#This Row],[Receita 
MUVX (7,5%)]]</f>
        <v>107689.33682442374</v>
      </c>
      <c r="AD50" s="14">
        <f>Table1378[[#This Row],[Investimento no Mês (Growth) ** 10%**]]+AD49</f>
        <v>26480</v>
      </c>
      <c r="AE50" s="73">
        <f>Table1378[[#This Row],[Receita MUVX Acumulada]]/Table1378[[#This Row],[Investimento Acumulado]]</f>
        <v>4.0668178559072405</v>
      </c>
      <c r="AF50" s="73" t="e">
        <f>Table1378[[#This Row],[ROI]]+AF49</f>
        <v>#DIV/0!</v>
      </c>
    </row>
    <row r="51" spans="1:32">
      <c r="A51" s="87">
        <v>46235</v>
      </c>
      <c r="B51" s="61">
        <f t="shared" si="7"/>
        <v>20102</v>
      </c>
      <c r="C51" s="61">
        <f t="shared" si="8"/>
        <v>10.417506398960638</v>
      </c>
      <c r="D51" s="62">
        <f>Table1378[[#This Row],[Investimento no Mês (Growth) ** 10%**]]/Table1378[[#This Row],[CPL 
(cadastro)]]</f>
        <v>1929.6364437084089</v>
      </c>
      <c r="E51" s="63">
        <v>0.08</v>
      </c>
      <c r="F51" s="62">
        <f>Table1378[[#This Row],[Novos Cadastros 
no App Personal]]*Table1378[[#This Row],[Tx. % Ativação Personais (Conversão)]]</f>
        <v>154.37091549667272</v>
      </c>
      <c r="G51" s="62">
        <f>Table1378[[#This Row],[Novos Personais Ativados]]+G50</f>
        <v>296.58985096589566</v>
      </c>
      <c r="H51" s="62">
        <f>IFERROR(Table1378[[#This Row],[Investimento no Mês (Growth) ** 10%**]]/Table1378[[#This Row],[Novos Personais Ativados]],0)</f>
        <v>130.21882998700798</v>
      </c>
      <c r="I51" s="66">
        <v>0.03</v>
      </c>
      <c r="J51" s="67">
        <f>Table1378[[#This Row],[Personais 
Totais]]*Table1378[[#This Row],[Tx. % Churn]]</f>
        <v>8.89769552897687</v>
      </c>
      <c r="K51" s="62">
        <f>Table1378[[#This Row],[Personais 
Totais]]-Table1378[[#This Row],[Qtde. Churn 
no Mês]]</f>
        <v>287.69215543691877</v>
      </c>
      <c r="L51" s="68">
        <v>250</v>
      </c>
      <c r="M51" s="61">
        <f t="shared" si="6"/>
        <v>133.18138954821353</v>
      </c>
      <c r="N51" s="76">
        <f t="shared" si="6"/>
        <v>33295.347387053393</v>
      </c>
      <c r="O51" s="62">
        <f>Table1378[[#This Row],[Personais 
Ativos Mês]]+(Table1378[[#This Row],[Personais 
Ativos Mês]]*Table1378[[#This Row],[Média Alunos Estimada 
Total Personal]])</f>
        <v>72210.731014666613</v>
      </c>
      <c r="P51" s="77">
        <f>Table1378[[#This Row],[Média Faturamento
Estimada Personal]]*K50</f>
        <v>4640524.2842354123</v>
      </c>
      <c r="Q51" s="77">
        <f>Table1378[[#This Row],[Faturamento Estimado]]*7.5%</f>
        <v>348039.32131765591</v>
      </c>
      <c r="R51" s="71">
        <f>Table1378[[#This Row],[Total Usuários Estimado]]*2.99</f>
        <v>215910.08573385319</v>
      </c>
      <c r="S51" s="72">
        <f>Table1378[[#This Row],[Média Alunos Estimada 
Total Personal]]-(Table1378[[#This Row],[Tx. % Real Alunos 
não ativados]]*Table1378[[#This Row],[Média Alunos Estimada 
Total Personal]])</f>
        <v>225</v>
      </c>
      <c r="T51" s="66">
        <v>0.1</v>
      </c>
      <c r="U51" s="14">
        <f>Table1378[[#This Row],[Ticket Médio Aluno Personal]]*Table1378[[#This Row],[Média Real Alunos 
Ativos Personal]]</f>
        <v>29965.812648348045</v>
      </c>
      <c r="V51" s="62">
        <f>Table1378[[#This Row],[Média Real Alunos 
Ativos Personal]]*Table1378[[#This Row],[Personais 
Ativos Mês]]</f>
        <v>64730.734973306724</v>
      </c>
      <c r="W51" s="14">
        <v>2731.57</v>
      </c>
      <c r="X51" s="62"/>
      <c r="Y51" s="14">
        <f>Table1378[[#This Row],[Média Real por Personal]]*K50</f>
        <v>4176471.8558118702</v>
      </c>
      <c r="Z51" s="14">
        <f>Table1378[[#This Row],[Faturamento 
Real Bruto]]*5%</f>
        <v>208823.59279059351</v>
      </c>
      <c r="AA51" s="14">
        <f>Table1378[[#This Row],[Total Real 
Usuários ]]*3.99</f>
        <v>258275.63254349385</v>
      </c>
      <c r="AB51" s="14">
        <f>AB50+Table1378[[#This Row],[Faturamento 
Real Bruto]]</f>
        <v>6330258.5923003443</v>
      </c>
      <c r="AC51" s="14">
        <f>AC50+Table1378[[#This Row],[Receita 
MUVX (7,5%)]]</f>
        <v>316512.92961501726</v>
      </c>
      <c r="AD51" s="14">
        <f>Table1378[[#This Row],[Investimento no Mês (Growth) ** 10%**]]+AD50</f>
        <v>46582</v>
      </c>
      <c r="AE51" s="73">
        <f>Table1378[[#This Row],[Receita MUVX Acumulada]]/Table1378[[#This Row],[Investimento Acumulado]]</f>
        <v>6.7947475337043768</v>
      </c>
      <c r="AF51" s="73" t="e">
        <f>Table1378[[#This Row],[ROI]]+AF50</f>
        <v>#DIV/0!</v>
      </c>
    </row>
    <row r="52" spans="1:32">
      <c r="A52" s="87">
        <v>46266</v>
      </c>
      <c r="B52" s="61">
        <f t="shared" si="7"/>
        <v>23117.299999999996</v>
      </c>
      <c r="C52" s="61">
        <f t="shared" si="8"/>
        <v>10.209156270981426</v>
      </c>
      <c r="D52" s="62">
        <f>Table1378[[#This Row],[Investimento no Mês (Growth) ** 10%**]]/Table1378[[#This Row],[CPL 
(cadastro)]]</f>
        <v>2264.3692961884385</v>
      </c>
      <c r="E52" s="63">
        <v>0.08</v>
      </c>
      <c r="F52" s="62">
        <f>Table1378[[#This Row],[Novos Cadastros 
no App Personal]]*Table1378[[#This Row],[Tx. % Ativação Personais (Conversão)]]</f>
        <v>181.1495436950751</v>
      </c>
      <c r="G52" s="62">
        <f>Table1378[[#This Row],[Novos Personais Ativados]]+G51</f>
        <v>477.73939466097079</v>
      </c>
      <c r="H52" s="62">
        <f>IFERROR(Table1378[[#This Row],[Investimento no Mês (Growth) ** 10%**]]/Table1378[[#This Row],[Novos Personais Ativados]],0)</f>
        <v>127.61445338726782</v>
      </c>
      <c r="I52" s="66">
        <v>0.02</v>
      </c>
      <c r="J52" s="67">
        <f>Table1378[[#This Row],[Personais 
Totais]]*Table1378[[#This Row],[Tx. % Churn]]</f>
        <v>9.5547878932194159</v>
      </c>
      <c r="K52" s="62">
        <f>Table1378[[#This Row],[Personais 
Totais]]-Table1378[[#This Row],[Qtde. Churn 
no Mês]]</f>
        <v>468.18460676775135</v>
      </c>
      <c r="L52" s="68">
        <v>250</v>
      </c>
      <c r="M52" s="61">
        <f t="shared" si="6"/>
        <v>135.17911039143672</v>
      </c>
      <c r="N52" s="76">
        <f t="shared" si="6"/>
        <v>33794.777597859189</v>
      </c>
      <c r="O52" s="62">
        <f>Table1378[[#This Row],[Personais 
Ativos Mês]]+(Table1378[[#This Row],[Personais 
Ativos Mês]]*Table1378[[#This Row],[Média Alunos Estimada 
Total Personal]])</f>
        <v>117514.33629870559</v>
      </c>
      <c r="P52" s="77">
        <f>Table1378[[#This Row],[Média Faturamento
Estimada Personal]]*K51</f>
        <v>9722492.4096394069</v>
      </c>
      <c r="Q52" s="77">
        <f>Table1378[[#This Row],[Faturamento Estimado]]*7.5%</f>
        <v>729186.9307229555</v>
      </c>
      <c r="R52" s="71">
        <f>Table1378[[#This Row],[Total Usuários Estimado]]*2.99</f>
        <v>351367.86553312972</v>
      </c>
      <c r="S52" s="72">
        <f>Table1378[[#This Row],[Média Alunos Estimada 
Total Personal]]-(Table1378[[#This Row],[Tx. % Real Alunos 
não ativados]]*Table1378[[#This Row],[Média Alunos Estimada 
Total Personal]])</f>
        <v>225</v>
      </c>
      <c r="T52" s="66">
        <v>0.1</v>
      </c>
      <c r="U52" s="14">
        <f>Table1378[[#This Row],[Ticket Médio Aluno Personal]]*Table1378[[#This Row],[Média Real Alunos 
Ativos Personal]]</f>
        <v>30415.299838073264</v>
      </c>
      <c r="V52" s="62">
        <f>Table1378[[#This Row],[Média Real Alunos 
Ativos Personal]]*Table1378[[#This Row],[Personais 
Ativos Mês]]</f>
        <v>105341.53652274405</v>
      </c>
      <c r="W52" s="14">
        <v>3259.22</v>
      </c>
      <c r="X52" s="62"/>
      <c r="Y52" s="14">
        <f>Table1378[[#This Row],[Média Real por Personal]]*K51</f>
        <v>8750243.1686754636</v>
      </c>
      <c r="Z52" s="14">
        <f>Table1378[[#This Row],[Faturamento 
Real Bruto]]*5%</f>
        <v>437512.15843377321</v>
      </c>
      <c r="AA52" s="14">
        <f>Table1378[[#This Row],[Total Real 
Usuários ]]*3.99</f>
        <v>420312.73072574876</v>
      </c>
      <c r="AB52" s="14">
        <f>AB51+Table1378[[#This Row],[Faturamento 
Real Bruto]]</f>
        <v>15080501.760975808</v>
      </c>
      <c r="AC52" s="14">
        <f>AC51+Table1378[[#This Row],[Receita 
MUVX (7,5%)]]</f>
        <v>754025.08804879047</v>
      </c>
      <c r="AD52" s="14">
        <f>Table1378[[#This Row],[Investimento no Mês (Growth) ** 10%**]]+AD51</f>
        <v>69699.299999999988</v>
      </c>
      <c r="AE52" s="73">
        <f>Table1378[[#This Row],[Receita MUVX Acumulada]]/Table1378[[#This Row],[Investimento Acumulado]]</f>
        <v>10.818259122384164</v>
      </c>
      <c r="AF52" s="73" t="e">
        <f>Table1378[[#This Row],[ROI]]+AF51</f>
        <v>#DIV/0!</v>
      </c>
    </row>
    <row r="53" spans="1:32">
      <c r="A53" s="87">
        <v>46296</v>
      </c>
      <c r="B53" s="61">
        <f t="shared" si="7"/>
        <v>26584.89499999999</v>
      </c>
      <c r="C53" s="61">
        <f t="shared" si="8"/>
        <v>10.004973145561797</v>
      </c>
      <c r="D53" s="62">
        <f>Table1378[[#This Row],[Investimento no Mês (Growth) ** 10%**]]/Table1378[[#This Row],[CPL 
(cadastro)]]</f>
        <v>2657.1680516496981</v>
      </c>
      <c r="E53" s="63">
        <v>7.0000000000000007E-2</v>
      </c>
      <c r="F53" s="62">
        <f>Table1378[[#This Row],[Novos Cadastros 
no App Personal]]*Table1378[[#This Row],[Tx. % Ativação Personais (Conversão)]]</f>
        <v>186.00176361547889</v>
      </c>
      <c r="G53" s="62">
        <f>Table1378[[#This Row],[Novos Personais Ativados]]+G52</f>
        <v>663.74115827644971</v>
      </c>
      <c r="H53" s="62">
        <f>IFERROR(Table1378[[#This Row],[Investimento no Mês (Growth) ** 10%**]]/Table1378[[#This Row],[Novos Personais Ativados]],0)</f>
        <v>142.92818779373994</v>
      </c>
      <c r="I53" s="66">
        <v>0.03</v>
      </c>
      <c r="J53" s="67">
        <f>Table1378[[#This Row],[Personais 
Totais]]*Table1378[[#This Row],[Tx. % Churn]]</f>
        <v>19.912234748293489</v>
      </c>
      <c r="K53" s="62">
        <f>Table1378[[#This Row],[Personais 
Totais]]-Table1378[[#This Row],[Qtde. Churn 
no Mês]]</f>
        <v>643.82892352815622</v>
      </c>
      <c r="L53" s="68">
        <v>250</v>
      </c>
      <c r="M53" s="61">
        <f t="shared" si="6"/>
        <v>137.20679704730827</v>
      </c>
      <c r="N53" s="76">
        <f t="shared" si="6"/>
        <v>34301.699261827074</v>
      </c>
      <c r="O53" s="62">
        <f>Table1378[[#This Row],[Personais 
Ativos Mês]]+(Table1378[[#This Row],[Personais 
Ativos Mês]]*Table1378[[#This Row],[Média Alunos Estimada 
Total Personal]])</f>
        <v>161601.05980556723</v>
      </c>
      <c r="P53" s="77">
        <f>Table1378[[#This Row],[Média Faturamento
Estimada Personal]]*K52</f>
        <v>16059527.580364175</v>
      </c>
      <c r="Q53" s="77">
        <f>Table1378[[#This Row],[Faturamento Estimado]]*7.5%</f>
        <v>1204464.5685273132</v>
      </c>
      <c r="R53" s="71">
        <f>Table1378[[#This Row],[Total Usuários Estimado]]*2.99</f>
        <v>483187.16881864605</v>
      </c>
      <c r="S53" s="72">
        <f>Table1378[[#This Row],[Média Alunos Estimada 
Total Personal]]-(Table1378[[#This Row],[Tx. % Real Alunos 
não ativados]]*Table1378[[#This Row],[Média Alunos Estimada 
Total Personal]])</f>
        <v>225</v>
      </c>
      <c r="T53" s="66">
        <v>0.1</v>
      </c>
      <c r="U53" s="14">
        <f>Table1378[[#This Row],[Ticket Médio Aluno Personal]]*Table1378[[#This Row],[Média Real Alunos 
Ativos Personal]]</f>
        <v>30871.529335644362</v>
      </c>
      <c r="V53" s="62">
        <f>Table1378[[#This Row],[Média Real Alunos 
Ativos Personal]]*Table1378[[#This Row],[Personais 
Ativos Mês]]</f>
        <v>144861.50779383516</v>
      </c>
      <c r="W53" s="14">
        <v>3862.91</v>
      </c>
      <c r="X53" s="62"/>
      <c r="Y53" s="14">
        <f>Table1378[[#This Row],[Média Real por Personal]]*K52</f>
        <v>14453574.822327755</v>
      </c>
      <c r="Z53" s="14">
        <f>Table1378[[#This Row],[Faturamento 
Real Bruto]]*5%</f>
        <v>722678.74111638777</v>
      </c>
      <c r="AA53" s="14">
        <f>Table1378[[#This Row],[Total Real 
Usuários ]]*3.99</f>
        <v>577997.41609740234</v>
      </c>
      <c r="AB53" s="14">
        <f>AB52+Table1378[[#This Row],[Faturamento 
Real Bruto]]</f>
        <v>29534076.583303563</v>
      </c>
      <c r="AC53" s="14">
        <f>AC52+Table1378[[#This Row],[Receita 
MUVX (7,5%)]]</f>
        <v>1476703.8291651784</v>
      </c>
      <c r="AD53" s="14">
        <f>Table1378[[#This Row],[Investimento no Mês (Growth) ** 10%**]]+AD52</f>
        <v>96284.194999999978</v>
      </c>
      <c r="AE53" s="73">
        <f>Table1378[[#This Row],[Receita MUVX Acumulada]]/Table1378[[#This Row],[Investimento Acumulado]]</f>
        <v>15.336928653401305</v>
      </c>
      <c r="AF53" s="73" t="e">
        <f>Table1378[[#This Row],[ROI]]+AF52</f>
        <v>#DIV/0!</v>
      </c>
    </row>
    <row r="54" spans="1:32">
      <c r="A54" s="87">
        <v>46327</v>
      </c>
      <c r="B54" s="61">
        <f t="shared" si="7"/>
        <v>30572.629249999987</v>
      </c>
      <c r="C54" s="61">
        <f t="shared" si="8"/>
        <v>9.8048736826505607</v>
      </c>
      <c r="D54" s="62">
        <f>Table1378[[#This Row],[Investimento no Mês (Growth) ** 10%**]]/Table1378[[#This Row],[CPL 
(cadastro)]]</f>
        <v>3118.1053667317883</v>
      </c>
      <c r="E54" s="63">
        <v>0.1</v>
      </c>
      <c r="F54" s="62">
        <f>Table1378[[#This Row],[Novos Cadastros 
no App Personal]]*Table1378[[#This Row],[Tx. % Ativação Personais (Conversão)]]</f>
        <v>311.81053667317883</v>
      </c>
      <c r="G54" s="62">
        <f>Table1378[[#This Row],[Novos Personais Ativados]]+G53</f>
        <v>975.55169494962854</v>
      </c>
      <c r="H54" s="62">
        <f>IFERROR(Table1378[[#This Row],[Investimento no Mês (Growth) ** 10%**]]/Table1378[[#This Row],[Novos Personais Ativados]],0)</f>
        <v>98.048736826505603</v>
      </c>
      <c r="I54" s="66">
        <v>0.03</v>
      </c>
      <c r="J54" s="67">
        <f>Table1378[[#This Row],[Personais 
Totais]]*Table1378[[#This Row],[Tx. % Churn]]</f>
        <v>29.266550848488855</v>
      </c>
      <c r="K54" s="62">
        <f>Table1378[[#This Row],[Personais 
Totais]]-Table1378[[#This Row],[Qtde. Churn 
no Mês]]</f>
        <v>946.28514410113974</v>
      </c>
      <c r="L54" s="68">
        <v>250</v>
      </c>
      <c r="M54" s="61">
        <f t="shared" si="6"/>
        <v>139.26489900301789</v>
      </c>
      <c r="N54" s="76">
        <f t="shared" si="6"/>
        <v>34816.224750754474</v>
      </c>
      <c r="O54" s="62">
        <f>Table1378[[#This Row],[Personais 
Ativos Mês]]+(Table1378[[#This Row],[Personais 
Ativos Mês]]*Table1378[[#This Row],[Média Alunos Estimada 
Total Personal]])</f>
        <v>237517.57116938606</v>
      </c>
      <c r="P54" s="77">
        <f>Table1378[[#This Row],[Média Faturamento
Estimada Personal]]*K53</f>
        <v>22415692.502592601</v>
      </c>
      <c r="Q54" s="77">
        <f>Table1378[[#This Row],[Faturamento Estimado]]*7.5%</f>
        <v>1681176.937694445</v>
      </c>
      <c r="R54" s="71">
        <f>Table1378[[#This Row],[Total Usuários Estimado]]*2.99</f>
        <v>710177.5377964644</v>
      </c>
      <c r="S54" s="72">
        <f>Table1378[[#This Row],[Média Alunos Estimada 
Total Personal]]-(Table1378[[#This Row],[Tx. % Real Alunos 
não ativados]]*Table1378[[#This Row],[Média Alunos Estimada 
Total Personal]])</f>
        <v>225</v>
      </c>
      <c r="T54" s="66">
        <v>0.1</v>
      </c>
      <c r="U54" s="14">
        <f>Table1378[[#This Row],[Ticket Médio Aluno Personal]]*Table1378[[#This Row],[Média Real Alunos 
Ativos Personal]]</f>
        <v>31334.602275679026</v>
      </c>
      <c r="V54" s="62">
        <f>Table1378[[#This Row],[Média Real Alunos 
Ativos Personal]]*Table1378[[#This Row],[Personais 
Ativos Mês]]</f>
        <v>212914.15742275643</v>
      </c>
      <c r="W54" s="14">
        <v>4572.01</v>
      </c>
      <c r="X54" s="62"/>
      <c r="Y54" s="14">
        <f>Table1378[[#This Row],[Média Real por Personal]]*K53</f>
        <v>20174123.252333343</v>
      </c>
      <c r="Z54" s="14">
        <f>Table1378[[#This Row],[Faturamento 
Real Bruto]]*5%</f>
        <v>1008706.1626166672</v>
      </c>
      <c r="AA54" s="14">
        <f>Table1378[[#This Row],[Total Real 
Usuários ]]*3.99</f>
        <v>849527.48811679822</v>
      </c>
      <c r="AB54" s="14">
        <f>AB53+Table1378[[#This Row],[Faturamento 
Real Bruto]]</f>
        <v>49708199.835636906</v>
      </c>
      <c r="AC54" s="14">
        <f>AC53+Table1378[[#This Row],[Receita 
MUVX (7,5%)]]</f>
        <v>2485409.9917818457</v>
      </c>
      <c r="AD54" s="14">
        <f>Table1378[[#This Row],[Investimento no Mês (Growth) ** 10%**]]+AD53</f>
        <v>126856.82424999996</v>
      </c>
      <c r="AE54" s="73">
        <f>Table1378[[#This Row],[Receita MUVX Acumulada]]/Table1378[[#This Row],[Investimento Acumulado]]</f>
        <v>19.59224508792515</v>
      </c>
      <c r="AF54" s="73" t="e">
        <f>Table1378[[#This Row],[ROI]]+AF53</f>
        <v>#DIV/0!</v>
      </c>
    </row>
    <row r="55" spans="1:32">
      <c r="A55" s="87">
        <v>46357</v>
      </c>
      <c r="B55" s="61">
        <f t="shared" si="7"/>
        <v>35158.52363749998</v>
      </c>
      <c r="C55" s="61">
        <f t="shared" si="8"/>
        <v>9.6087762089975488</v>
      </c>
      <c r="D55" s="62">
        <f>Table1378[[#This Row],[Investimento no Mês (Growth) ** 10%**]]/Table1378[[#This Row],[CPL 
(cadastro)]]</f>
        <v>3659.0011956546496</v>
      </c>
      <c r="E55" s="63">
        <v>0.04</v>
      </c>
      <c r="F55" s="62">
        <f>Table1378[[#This Row],[Novos Cadastros 
no App Personal]]*Table1378[[#This Row],[Tx. % Ativação Personais (Conversão)]]</f>
        <v>146.36004782618599</v>
      </c>
      <c r="G55" s="62">
        <f>Table1378[[#This Row],[Novos Personais Ativados]]+G54</f>
        <v>1121.9117427758144</v>
      </c>
      <c r="H55" s="62">
        <f>IFERROR(Table1378[[#This Row],[Investimento no Mês (Growth) ** 10%**]]/Table1378[[#This Row],[Novos Personais Ativados]],0)</f>
        <v>240.2194052249387</v>
      </c>
      <c r="I55" s="66">
        <v>0.1</v>
      </c>
      <c r="J55" s="67">
        <f>Table1378[[#This Row],[Personais 
Totais]]*Table1378[[#This Row],[Tx. % Churn]]</f>
        <v>112.19117427758145</v>
      </c>
      <c r="K55" s="62">
        <f>Table1378[[#This Row],[Personais 
Totais]]-Table1378[[#This Row],[Qtde. Churn 
no Mês]]</f>
        <v>1009.720568498233</v>
      </c>
      <c r="L55" s="68">
        <v>250</v>
      </c>
      <c r="M55" s="61">
        <f t="shared" si="6"/>
        <v>141.35387248806313</v>
      </c>
      <c r="N55" s="76">
        <f t="shared" si="6"/>
        <v>35338.468122015787</v>
      </c>
      <c r="O55" s="62">
        <f>Table1378[[#This Row],[Personais 
Ativos Mês]]+(Table1378[[#This Row],[Personais 
Ativos Mês]]*Table1378[[#This Row],[Média Alunos Estimada 
Total Personal]])</f>
        <v>253439.86269305649</v>
      </c>
      <c r="P55" s="77">
        <f>Table1378[[#This Row],[Média Faturamento
Estimada Personal]]*K54</f>
        <v>33440267.399155241</v>
      </c>
      <c r="Q55" s="77">
        <f>Table1378[[#This Row],[Faturamento Estimado]]*7.5%</f>
        <v>2508020.0549366428</v>
      </c>
      <c r="R55" s="71">
        <f>Table1378[[#This Row],[Total Usuários Estimado]]*2.99</f>
        <v>757785.18945223896</v>
      </c>
      <c r="S55" s="72">
        <f>Table1378[[#This Row],[Média Alunos Estimada 
Total Personal]]-(Table1378[[#This Row],[Tx. % Real Alunos 
não ativados]]*Table1378[[#This Row],[Média Alunos Estimada 
Total Personal]])</f>
        <v>225</v>
      </c>
      <c r="T55" s="66">
        <v>0.1</v>
      </c>
      <c r="U55" s="14">
        <f>Table1378[[#This Row],[Ticket Médio Aluno Personal]]*Table1378[[#This Row],[Média Real Alunos 
Ativos Personal]]</f>
        <v>31804.621309814203</v>
      </c>
      <c r="V55" s="62">
        <f>Table1378[[#This Row],[Média Real Alunos 
Ativos Personal]]*Table1378[[#This Row],[Personais 
Ativos Mês]]</f>
        <v>227187.12791210241</v>
      </c>
      <c r="W55" s="14">
        <v>4926.63</v>
      </c>
      <c r="X55" s="62"/>
      <c r="Y55" s="14">
        <f>Table1378[[#This Row],[Média Real por Personal]]*K54</f>
        <v>30096240.659239713</v>
      </c>
      <c r="Z55" s="14">
        <f>Table1378[[#This Row],[Faturamento 
Real Bruto]]*5%</f>
        <v>1504812.0329619858</v>
      </c>
      <c r="AA55" s="14">
        <f>Table1378[[#This Row],[Total Real 
Usuários ]]*3.99</f>
        <v>906476.64036928862</v>
      </c>
      <c r="AB55" s="14">
        <f>AB54+Table1378[[#This Row],[Faturamento 
Real Bruto]]</f>
        <v>79804440.494876623</v>
      </c>
      <c r="AC55" s="14">
        <f>AC54+Table1378[[#This Row],[Receita 
MUVX (7,5%)]]</f>
        <v>3990222.0247438317</v>
      </c>
      <c r="AD55" s="14">
        <f>Table1378[[#This Row],[Investimento no Mês (Growth) ** 10%**]]+AD54</f>
        <v>162015.34788749996</v>
      </c>
      <c r="AE55" s="73">
        <f>Table1378[[#This Row],[Receita MUVX Acumulada]]/Table1378[[#This Row],[Investimento Acumulado]]</f>
        <v>24.628666831703857</v>
      </c>
      <c r="AF55" s="73" t="e">
        <f>Table1378[[#This Row],[ROI]]+AF54</f>
        <v>#DIV/0!</v>
      </c>
    </row>
    <row r="56" spans="1:32" s="86" customFormat="1">
      <c r="A56" s="79"/>
      <c r="B56" s="80">
        <f>SUBTOTAL(109,B42:B55)</f>
        <v>162015.34788749996</v>
      </c>
      <c r="C56" s="80">
        <f>SUBTOTAL(101,C42:C55)</f>
        <v>18.154997554222852</v>
      </c>
      <c r="D56" s="81">
        <f>SUBTOTAL(109,D42:D55)</f>
        <v>16087.781118852727</v>
      </c>
      <c r="E56" s="82">
        <f>SUBTOTAL(101,E45:E55)</f>
        <v>6.0000000000000005E-2</v>
      </c>
      <c r="F56" s="83">
        <f>SUBTOTAL(109,F42:F55)</f>
        <v>1121.9117427758144</v>
      </c>
      <c r="G56" s="83">
        <f>AVERAGE(G42:G55)</f>
        <v>268.226709004898</v>
      </c>
      <c r="H56" s="83">
        <f>Table1378[[#This Row],[Investimento no Mês (Growth) ** 10%**]]/Table1378[[#This Row],[Novos Personais Ativados]]</f>
        <v>144.41006516844578</v>
      </c>
      <c r="I56" s="84">
        <f>SUBTOTAL(101,I42:I55)</f>
        <v>3.3571428571428578E-2</v>
      </c>
      <c r="J56" s="83">
        <f>SUBTOTAL(109,J42:J55)</f>
        <v>186.50246337217271</v>
      </c>
      <c r="K56" s="83">
        <f>K55</f>
        <v>1009.720568498233</v>
      </c>
      <c r="L56" s="83">
        <f>AVERAGE(L42:L55)</f>
        <v>250</v>
      </c>
      <c r="M56" s="85">
        <f>Table1378[[#This Row],[Média Faturamento
Estimada Personal]]/Table1378[[#This Row],[Média Alunos Estimada 
Total Personal]]</f>
        <v>120.38041320709856</v>
      </c>
      <c r="N56" s="80">
        <f>SUBTOTAL(101,N42:N55)</f>
        <v>30095.103301774638</v>
      </c>
      <c r="O56" s="83">
        <f>Table1378[[#This Row],[Personais 
Ativos Mês]]+(Table1378[[#This Row],[Personais 
Ativos Mês]]*Table1378[[#This Row],[Média Alunos Estimada 
Total Personal]])</f>
        <v>253439.86269305649</v>
      </c>
      <c r="P56" s="85">
        <f>SUBTOTAL(109,P42:P55)</f>
        <v>88671600.549862921</v>
      </c>
      <c r="Q56" s="85">
        <f>Table1378[[#This Row],[Faturamento Estimado]]*5%</f>
        <v>4433580.0274931462</v>
      </c>
      <c r="R56" s="85">
        <f>SUM(R44:R55)</f>
        <v>2678252.2460390204</v>
      </c>
      <c r="S56" s="83">
        <f>Table1378[[#This Row],[Média Alunos Estimada 
Total Personal]]-(Table1378[[#This Row],[Tx. % Real Alunos 
não ativados]]*Table1378[[#This Row],[Média Alunos Estimada 
Total Personal]])</f>
        <v>250</v>
      </c>
      <c r="T56" s="83"/>
      <c r="U56" s="85">
        <f>AVERAGE(U44:U55)</f>
        <v>26966.363219230272</v>
      </c>
      <c r="V56" s="62"/>
      <c r="W56" s="62"/>
      <c r="X56" s="62"/>
      <c r="Y56" s="80">
        <f>SUBTOTAL(109,Y42:Y55)</f>
        <v>79804440.494876623</v>
      </c>
      <c r="Z56" s="80">
        <f>SUBTOTAL(109,Z42:Z55)</f>
        <v>3990222.0247438317</v>
      </c>
      <c r="AA56" s="80">
        <f>SUM(AA44:AA55)</f>
        <v>3203286.6496590157</v>
      </c>
      <c r="AB56" s="80"/>
    </row>
    <row r="57" spans="1:32">
      <c r="A57" s="87"/>
      <c r="D57" s="15"/>
      <c r="E57" s="15"/>
      <c r="H57" s="62"/>
      <c r="M57" s="15"/>
      <c r="O57" s="15"/>
      <c r="P57" s="15"/>
      <c r="Q57" s="15"/>
      <c r="R57" s="15">
        <f>Table1378[[#This Row],[Total Usuários Estimado]]*1.99</f>
        <v>0</v>
      </c>
      <c r="S57" s="62"/>
      <c r="V57" s="83"/>
      <c r="W57" s="83"/>
      <c r="X57" s="83"/>
      <c r="AA57" s="15"/>
    </row>
    <row r="58" spans="1:32">
      <c r="A58" s="87"/>
      <c r="D58" s="15"/>
      <c r="E58" s="89"/>
      <c r="F58" s="90"/>
      <c r="H58" s="62"/>
      <c r="J58" s="89" t="s">
        <v>253</v>
      </c>
      <c r="K58" s="90">
        <f>K56/130000</f>
        <v>7.7670812961402533E-3</v>
      </c>
      <c r="M58" s="15"/>
      <c r="O58" s="15"/>
      <c r="P58" s="15"/>
      <c r="Q58" s="15"/>
      <c r="R58" s="15">
        <f>Table1378[[#This Row],[Total Usuários Estimado]]*1.99</f>
        <v>0</v>
      </c>
      <c r="S58" s="62"/>
      <c r="V58" s="62"/>
      <c r="W58" s="62"/>
      <c r="X58" s="62"/>
      <c r="Y58" s="93" t="s">
        <v>275</v>
      </c>
      <c r="Z58" s="89">
        <f>Z56*30%</f>
        <v>1197066.6074231495</v>
      </c>
      <c r="AA58" s="89">
        <f>Table1378[[#This Row],[Total Real 
Usuários ]]*0.199</f>
        <v>0</v>
      </c>
    </row>
    <row r="61" spans="1:32" ht="48">
      <c r="A61" s="95" t="s">
        <v>279</v>
      </c>
      <c r="B61" s="95" t="s">
        <v>280</v>
      </c>
      <c r="C61" s="95" t="s">
        <v>255</v>
      </c>
      <c r="D61" s="95" t="s">
        <v>265</v>
      </c>
      <c r="E61" s="95" t="s">
        <v>266</v>
      </c>
      <c r="F61" s="95" t="s">
        <v>230</v>
      </c>
      <c r="G61" s="95" t="s">
        <v>231</v>
      </c>
      <c r="H61" s="95" t="s">
        <v>232</v>
      </c>
      <c r="I61" s="95" t="s">
        <v>233</v>
      </c>
      <c r="J61" s="95" t="s">
        <v>234</v>
      </c>
      <c r="K61" s="95" t="s">
        <v>235</v>
      </c>
      <c r="L61" s="95" t="s">
        <v>236</v>
      </c>
      <c r="M61" s="95" t="s">
        <v>237</v>
      </c>
      <c r="N61" s="95" t="s">
        <v>260</v>
      </c>
      <c r="O61" s="95" t="s">
        <v>239</v>
      </c>
      <c r="P61" s="95" t="s">
        <v>240</v>
      </c>
      <c r="Q61" s="95" t="s">
        <v>277</v>
      </c>
      <c r="R61" s="95" t="s">
        <v>281</v>
      </c>
      <c r="S61" s="99" t="s">
        <v>282</v>
      </c>
      <c r="T61" s="99" t="s">
        <v>243</v>
      </c>
      <c r="U61" s="99" t="s">
        <v>283</v>
      </c>
      <c r="V61" s="99" t="s">
        <v>245</v>
      </c>
      <c r="W61" s="99" t="s">
        <v>246</v>
      </c>
      <c r="X61" s="99" t="s">
        <v>272</v>
      </c>
      <c r="Y61" s="99" t="s">
        <v>273</v>
      </c>
      <c r="Z61" s="99" t="s">
        <v>248</v>
      </c>
      <c r="AA61" s="100" t="s">
        <v>249</v>
      </c>
      <c r="AB61" s="100" t="s">
        <v>250</v>
      </c>
    </row>
    <row r="62" spans="1:32">
      <c r="A62" s="133">
        <v>46023</v>
      </c>
      <c r="B62" s="101"/>
      <c r="C62" s="101">
        <f t="shared" ref="C62:C73" si="9">AVERAGE(C4,C24,C44)</f>
        <v>12</v>
      </c>
      <c r="D62" s="134">
        <f t="shared" ref="D62:D73" si="10">D4+D24+D44</f>
        <v>0</v>
      </c>
      <c r="E62" s="135">
        <f t="shared" ref="E62:E73" si="11">AVERAGE(E4,E24,E44)</f>
        <v>0</v>
      </c>
      <c r="F62" s="134">
        <f t="shared" ref="F62:G73" si="12">F4+F24+F44</f>
        <v>0</v>
      </c>
      <c r="G62" s="134">
        <f t="shared" si="12"/>
        <v>0</v>
      </c>
      <c r="H62" s="101">
        <f>AVERAGE(H4,H24,H44)</f>
        <v>0</v>
      </c>
      <c r="I62" s="135">
        <f>AVERAGE(I4,I24,I44)</f>
        <v>0</v>
      </c>
      <c r="J62" s="134">
        <f t="shared" ref="J62:K73" si="13">J4+J24+J44</f>
        <v>0</v>
      </c>
      <c r="K62" s="134">
        <f t="shared" si="13"/>
        <v>0</v>
      </c>
      <c r="L62" s="134">
        <f t="shared" ref="L62:L73" si="14">AVERAGE(L4,EJ4,L44)</f>
        <v>140</v>
      </c>
      <c r="M62" s="101">
        <f t="shared" ref="M62:M73" si="15">AVERAGE(M4,M24,M44)</f>
        <v>93.333333333333329</v>
      </c>
      <c r="N62" s="136" t="str">
        <f>IFERROR((N4*K4 + N24*K24 + N44*K44)/(K4 + K24 + K44),"0"
)</f>
        <v>0</v>
      </c>
      <c r="O62" s="134">
        <f t="shared" ref="O62:R73" si="16">O4+O24+O44</f>
        <v>0</v>
      </c>
      <c r="P62" s="101">
        <f t="shared" si="16"/>
        <v>0</v>
      </c>
      <c r="Q62" s="101">
        <f t="shared" si="16"/>
        <v>0</v>
      </c>
      <c r="R62" s="101">
        <f t="shared" si="16"/>
        <v>0</v>
      </c>
      <c r="S62" s="134" t="str">
        <f t="shared" ref="S62:S73" si="17">IFERROR((S4*K4 + S24*K24 + S44*K44)/(K4 + K24 + K44),"0"
)</f>
        <v>0</v>
      </c>
      <c r="T62" s="135">
        <f t="shared" ref="T62:T73" si="18">AVERAGE(T4,T24,T44)</f>
        <v>0.54</v>
      </c>
      <c r="U62" s="137" t="str">
        <f>IFERROR((U4*K4 + U24*K24 + U44*K44)/(K4 + K24 + K44),"0"
)</f>
        <v>0</v>
      </c>
      <c r="V62" s="134">
        <f t="shared" ref="V62:V73" si="19">V4+V24+V44</f>
        <v>0</v>
      </c>
      <c r="W62" s="101">
        <f t="shared" ref="W62:AB73" si="20">Y4+Y24+Y44</f>
        <v>0</v>
      </c>
      <c r="X62" s="101">
        <f t="shared" si="20"/>
        <v>0</v>
      </c>
      <c r="Y62" s="101">
        <f t="shared" si="20"/>
        <v>0</v>
      </c>
      <c r="Z62" s="101">
        <f t="shared" si="20"/>
        <v>0</v>
      </c>
      <c r="AA62" s="101">
        <f t="shared" si="20"/>
        <v>0</v>
      </c>
      <c r="AB62" s="101">
        <f t="shared" si="20"/>
        <v>0</v>
      </c>
    </row>
    <row r="63" spans="1:32">
      <c r="A63" s="133">
        <v>46054</v>
      </c>
      <c r="B63" s="101"/>
      <c r="C63" s="101">
        <f t="shared" si="9"/>
        <v>11.76</v>
      </c>
      <c r="D63" s="134">
        <f t="shared" si="10"/>
        <v>0</v>
      </c>
      <c r="E63" s="135">
        <f t="shared" si="11"/>
        <v>4.9999999999999996E-2</v>
      </c>
      <c r="F63" s="134">
        <f t="shared" si="12"/>
        <v>0</v>
      </c>
      <c r="G63" s="134">
        <f t="shared" si="12"/>
        <v>0</v>
      </c>
      <c r="H63" s="101">
        <f t="shared" ref="H63:I73" si="21">AVERAGE(H5,H25,H45)</f>
        <v>0</v>
      </c>
      <c r="I63" s="135">
        <f t="shared" si="21"/>
        <v>0.04</v>
      </c>
      <c r="J63" s="134">
        <f t="shared" si="13"/>
        <v>0</v>
      </c>
      <c r="K63" s="134">
        <f t="shared" si="13"/>
        <v>0</v>
      </c>
      <c r="L63" s="134">
        <f t="shared" si="14"/>
        <v>140</v>
      </c>
      <c r="M63" s="101">
        <f t="shared" si="15"/>
        <v>94.733333333333306</v>
      </c>
      <c r="N63" s="136" t="str">
        <f t="shared" ref="N63:N73" si="22">IFERROR((N5*K5 + N25*K25 + N45*K45)/(K5 + K25 + K45),"0"
)</f>
        <v>0</v>
      </c>
      <c r="O63" s="134">
        <f t="shared" si="16"/>
        <v>0</v>
      </c>
      <c r="P63" s="101">
        <f t="shared" si="16"/>
        <v>0</v>
      </c>
      <c r="Q63" s="101">
        <f t="shared" si="16"/>
        <v>0</v>
      </c>
      <c r="R63" s="101">
        <f t="shared" si="16"/>
        <v>0</v>
      </c>
      <c r="S63" s="134" t="str">
        <f t="shared" si="17"/>
        <v>0</v>
      </c>
      <c r="T63" s="135">
        <f t="shared" si="18"/>
        <v>0.40000000000000008</v>
      </c>
      <c r="U63" s="137" t="str">
        <f t="shared" ref="U63:U73" si="23">IFERROR((U5*K5 + U25*K25 + U45*K45)/(K5 + K25 + K45),"0"
)</f>
        <v>0</v>
      </c>
      <c r="V63" s="134">
        <f t="shared" si="19"/>
        <v>0</v>
      </c>
      <c r="W63" s="101">
        <f t="shared" si="20"/>
        <v>0</v>
      </c>
      <c r="X63" s="101">
        <f t="shared" si="20"/>
        <v>0</v>
      </c>
      <c r="Y63" s="101">
        <f t="shared" si="20"/>
        <v>0</v>
      </c>
      <c r="Z63" s="101">
        <f t="shared" si="20"/>
        <v>0</v>
      </c>
      <c r="AA63" s="101">
        <f t="shared" si="20"/>
        <v>0</v>
      </c>
      <c r="AB63" s="101">
        <f t="shared" si="20"/>
        <v>0</v>
      </c>
    </row>
    <row r="64" spans="1:32">
      <c r="A64" s="138">
        <v>46082</v>
      </c>
      <c r="B64" s="101" cm="1">
        <f t="array" ref="B64">INDEX(Fluxo_Caixa_Mensal!$J$91:$S$91, ROW(B64)-ROW($B$64)+1)</f>
        <v>10000</v>
      </c>
      <c r="C64" s="101">
        <f>AVERAGE(C6,C26,C46)</f>
        <v>11.524799999999999</v>
      </c>
      <c r="D64" s="134">
        <f t="shared" si="10"/>
        <v>867.69401638206307</v>
      </c>
      <c r="E64" s="135">
        <v>0.03</v>
      </c>
      <c r="F64" s="134">
        <f t="shared" si="12"/>
        <v>26.030820491461888</v>
      </c>
      <c r="G64" s="134">
        <f t="shared" si="12"/>
        <v>26.030820491461888</v>
      </c>
      <c r="H64" s="101">
        <f t="shared" si="21"/>
        <v>384.16</v>
      </c>
      <c r="I64" s="135">
        <f t="shared" si="21"/>
        <v>0.06</v>
      </c>
      <c r="J64" s="134">
        <f t="shared" si="13"/>
        <v>1.5618492294877133</v>
      </c>
      <c r="K64" s="134">
        <f t="shared" si="13"/>
        <v>24.468971261974179</v>
      </c>
      <c r="L64" s="134">
        <f t="shared" si="14"/>
        <v>140</v>
      </c>
      <c r="M64" s="101">
        <f t="shared" si="15"/>
        <v>96.154333333333298</v>
      </c>
      <c r="N64" s="136">
        <f t="shared" si="22"/>
        <v>6407.9994999999981</v>
      </c>
      <c r="O64" s="134">
        <f t="shared" si="16"/>
        <v>1541.5451895043734</v>
      </c>
      <c r="P64" s="101">
        <f t="shared" si="16"/>
        <v>0</v>
      </c>
      <c r="Q64" s="101">
        <f t="shared" si="16"/>
        <v>0</v>
      </c>
      <c r="R64" s="101">
        <f t="shared" si="16"/>
        <v>4609.2201166180766</v>
      </c>
      <c r="S64" s="134">
        <f t="shared" si="17"/>
        <v>43.400000000000006</v>
      </c>
      <c r="T64" s="135">
        <f t="shared" si="18"/>
        <v>0.3</v>
      </c>
      <c r="U64" s="137">
        <f t="shared" si="23"/>
        <v>4485.5996499999992</v>
      </c>
      <c r="V64" s="134">
        <f t="shared" si="19"/>
        <v>1061.9533527696794</v>
      </c>
      <c r="W64" s="101">
        <f t="shared" si="20"/>
        <v>0</v>
      </c>
      <c r="X64" s="101">
        <f t="shared" si="20"/>
        <v>0</v>
      </c>
      <c r="Y64" s="101">
        <f t="shared" si="20"/>
        <v>4237.1938775510207</v>
      </c>
      <c r="Z64" s="101">
        <f t="shared" si="20"/>
        <v>0</v>
      </c>
      <c r="AA64" s="101">
        <f>AC6+AC26+AC46</f>
        <v>0</v>
      </c>
      <c r="AB64" s="101">
        <f t="shared" si="20"/>
        <v>10000</v>
      </c>
    </row>
    <row r="65" spans="1:29">
      <c r="A65" s="138">
        <v>46113</v>
      </c>
      <c r="B65" s="101" cm="1">
        <f t="array" ref="B65">INDEX(Fluxo_Caixa_Mensal!$J$91:$S$91, ROW(B65)-ROW($B$64)+1)</f>
        <v>10000</v>
      </c>
      <c r="C65" s="101">
        <f t="shared" si="9"/>
        <v>11.294303999999999</v>
      </c>
      <c r="D65" s="134">
        <f t="shared" si="10"/>
        <v>885.40205753271744</v>
      </c>
      <c r="E65" s="135">
        <v>0.04</v>
      </c>
      <c r="F65" s="134">
        <f t="shared" si="12"/>
        <v>35.416082301308698</v>
      </c>
      <c r="G65" s="134">
        <f t="shared" si="12"/>
        <v>61.446902792770587</v>
      </c>
      <c r="H65" s="101">
        <f t="shared" si="21"/>
        <v>282.35759999999993</v>
      </c>
      <c r="I65" s="135">
        <f t="shared" si="21"/>
        <v>0.04</v>
      </c>
      <c r="J65" s="134">
        <f t="shared" si="13"/>
        <v>2.4578761117108234</v>
      </c>
      <c r="K65" s="134">
        <f t="shared" si="13"/>
        <v>58.989026681059762</v>
      </c>
      <c r="L65" s="134">
        <f t="shared" si="14"/>
        <v>140</v>
      </c>
      <c r="M65" s="101">
        <f t="shared" si="15"/>
        <v>97.596648333333292</v>
      </c>
      <c r="N65" s="136">
        <f t="shared" si="22"/>
        <v>6504.1194924999972</v>
      </c>
      <c r="O65" s="134">
        <f t="shared" si="16"/>
        <v>3716.3086809067654</v>
      </c>
      <c r="P65" s="101">
        <f t="shared" si="16"/>
        <v>159149.11294642853</v>
      </c>
      <c r="Q65" s="101">
        <f t="shared" si="16"/>
        <v>11936.183470982138</v>
      </c>
      <c r="R65" s="101">
        <f t="shared" si="16"/>
        <v>11111.762955911228</v>
      </c>
      <c r="S65" s="134">
        <f t="shared" si="17"/>
        <v>55.8</v>
      </c>
      <c r="T65" s="135">
        <f t="shared" si="18"/>
        <v>0.10000000000000002</v>
      </c>
      <c r="U65" s="137">
        <f t="shared" si="23"/>
        <v>5853.7075432499987</v>
      </c>
      <c r="V65" s="134">
        <f t="shared" si="19"/>
        <v>3291.5876888031344</v>
      </c>
      <c r="W65" s="101">
        <f t="shared" si="20"/>
        <v>143234.20165178567</v>
      </c>
      <c r="X65" s="101">
        <f t="shared" si="20"/>
        <v>7161.710082589283</v>
      </c>
      <c r="Y65" s="101">
        <f t="shared" si="20"/>
        <v>13133.434878324508</v>
      </c>
      <c r="Z65" s="101">
        <f t="shared" si="20"/>
        <v>143234.20165178567</v>
      </c>
      <c r="AA65" s="101">
        <f t="shared" si="20"/>
        <v>7161.710082589283</v>
      </c>
      <c r="AB65" s="101">
        <f t="shared" si="20"/>
        <v>20000</v>
      </c>
    </row>
    <row r="66" spans="1:29">
      <c r="A66" s="138">
        <v>46143</v>
      </c>
      <c r="B66" s="101" cm="1">
        <f t="array" ref="B66">INDEX(Fluxo_Caixa_Mensal!$J$91:$S$91, ROW(B66)-ROW($B$64)+1)</f>
        <v>30000</v>
      </c>
      <c r="C66" s="101">
        <f t="shared" si="9"/>
        <v>11.068417919999996</v>
      </c>
      <c r="D66" s="134">
        <f t="shared" si="10"/>
        <v>2710.4144618348496</v>
      </c>
      <c r="E66" s="135">
        <f t="shared" si="11"/>
        <v>7.0000000000000007E-2</v>
      </c>
      <c r="F66" s="134">
        <f t="shared" si="12"/>
        <v>189.7290123284395</v>
      </c>
      <c r="G66" s="134">
        <f t="shared" si="12"/>
        <v>251.1759151212101</v>
      </c>
      <c r="H66" s="101">
        <f t="shared" si="21"/>
        <v>158.12025599999996</v>
      </c>
      <c r="I66" s="135">
        <f t="shared" si="21"/>
        <v>5.000000000000001E-2</v>
      </c>
      <c r="J66" s="134">
        <f t="shared" si="13"/>
        <v>12.558795756060505</v>
      </c>
      <c r="K66" s="134">
        <f t="shared" si="13"/>
        <v>238.61711936514956</v>
      </c>
      <c r="L66" s="134">
        <f t="shared" si="14"/>
        <v>140</v>
      </c>
      <c r="M66" s="101">
        <f t="shared" si="15"/>
        <v>99.060598058333298</v>
      </c>
      <c r="N66" s="136">
        <f t="shared" si="22"/>
        <v>6601.681284887497</v>
      </c>
      <c r="O66" s="134">
        <f t="shared" si="16"/>
        <v>15032.878520004426</v>
      </c>
      <c r="P66" s="101">
        <f t="shared" si="16"/>
        <v>389426.75345408148</v>
      </c>
      <c r="Q66" s="101">
        <f t="shared" si="16"/>
        <v>29207.006509056107</v>
      </c>
      <c r="R66" s="101">
        <f t="shared" si="16"/>
        <v>44948.306774813231</v>
      </c>
      <c r="S66" s="134">
        <f t="shared" si="17"/>
        <v>55.800000000000004</v>
      </c>
      <c r="T66" s="135">
        <f t="shared" si="18"/>
        <v>0.10000000000000002</v>
      </c>
      <c r="U66" s="137">
        <f t="shared" si="23"/>
        <v>5941.5131563987479</v>
      </c>
      <c r="V66" s="134">
        <f t="shared" si="19"/>
        <v>13314.835260575346</v>
      </c>
      <c r="W66" s="101">
        <f t="shared" si="20"/>
        <v>350484.07810867333</v>
      </c>
      <c r="X66" s="101">
        <f t="shared" si="20"/>
        <v>17524.203905433667</v>
      </c>
      <c r="Y66" s="101">
        <f t="shared" si="20"/>
        <v>53126.192689695636</v>
      </c>
      <c r="Z66" s="101">
        <f t="shared" si="20"/>
        <v>493718.27976045903</v>
      </c>
      <c r="AA66" s="101">
        <f t="shared" si="20"/>
        <v>24685.913988022949</v>
      </c>
      <c r="AB66" s="101">
        <f t="shared" si="20"/>
        <v>50000</v>
      </c>
    </row>
    <row r="67" spans="1:29">
      <c r="A67" s="138">
        <v>46174</v>
      </c>
      <c r="B67" s="101" cm="1">
        <f t="array" ref="B67">INDEX(Fluxo_Caixa_Mensal!$J$91:$S$91, ROW(B67)-ROW($B$64)+1)</f>
        <v>40000</v>
      </c>
      <c r="C67" s="101">
        <f t="shared" si="9"/>
        <v>10.847049561599997</v>
      </c>
      <c r="D67" s="134">
        <f t="shared" si="10"/>
        <v>3687.6387235848292</v>
      </c>
      <c r="E67" s="135">
        <f t="shared" si="11"/>
        <v>5.000000000000001E-2</v>
      </c>
      <c r="F67" s="134">
        <f t="shared" si="12"/>
        <v>184.38193617924148</v>
      </c>
      <c r="G67" s="134">
        <f t="shared" si="12"/>
        <v>435.55785130045155</v>
      </c>
      <c r="H67" s="101">
        <f t="shared" si="21"/>
        <v>216.94099123199999</v>
      </c>
      <c r="I67" s="135">
        <f t="shared" si="21"/>
        <v>5.000000000000001E-2</v>
      </c>
      <c r="J67" s="134">
        <f t="shared" si="13"/>
        <v>21.777892565022583</v>
      </c>
      <c r="K67" s="134">
        <f t="shared" si="13"/>
        <v>413.77995873542898</v>
      </c>
      <c r="L67" s="134">
        <f t="shared" si="14"/>
        <v>140</v>
      </c>
      <c r="M67" s="101">
        <f t="shared" si="15"/>
        <v>100.54650702920829</v>
      </c>
      <c r="N67" s="136">
        <f t="shared" si="22"/>
        <v>6700.7065041608093</v>
      </c>
      <c r="O67" s="134">
        <f t="shared" si="16"/>
        <v>26068.137400332023</v>
      </c>
      <c r="P67" s="101">
        <f t="shared" si="16"/>
        <v>1598903.2837341737</v>
      </c>
      <c r="Q67" s="101">
        <f t="shared" si="16"/>
        <v>119917.74628006303</v>
      </c>
      <c r="R67" s="101">
        <f t="shared" si="16"/>
        <v>77943.73082699276</v>
      </c>
      <c r="S67" s="134">
        <f t="shared" si="17"/>
        <v>55.800000000000004</v>
      </c>
      <c r="T67" s="135">
        <f t="shared" si="18"/>
        <v>0.10000000000000002</v>
      </c>
      <c r="U67" s="137">
        <f t="shared" si="23"/>
        <v>6030.6358537447286</v>
      </c>
      <c r="V67" s="134">
        <f t="shared" si="19"/>
        <v>23088.921697436937</v>
      </c>
      <c r="W67" s="101">
        <f t="shared" si="20"/>
        <v>1439012.9553607567</v>
      </c>
      <c r="X67" s="101">
        <f t="shared" si="20"/>
        <v>71950.64776803783</v>
      </c>
      <c r="Y67" s="101">
        <f t="shared" si="20"/>
        <v>92124.797572773386</v>
      </c>
      <c r="Z67" s="101">
        <f t="shared" si="20"/>
        <v>1932731.2351212157</v>
      </c>
      <c r="AA67" s="101">
        <f t="shared" si="20"/>
        <v>96636.561756060779</v>
      </c>
      <c r="AB67" s="101">
        <f t="shared" si="20"/>
        <v>90000</v>
      </c>
    </row>
    <row r="68" spans="1:29">
      <c r="A68" s="138">
        <v>46204</v>
      </c>
      <c r="B68" s="101" cm="1">
        <f t="array" ref="B68">INDEX(Fluxo_Caixa_Mensal!$J$91:$S$91, ROW(B68)-ROW($B$64)+1)</f>
        <v>174800</v>
      </c>
      <c r="C68" s="101">
        <f t="shared" si="9"/>
        <v>10.630108570367998</v>
      </c>
      <c r="D68" s="134">
        <f t="shared" si="10"/>
        <v>16443.858389862966</v>
      </c>
      <c r="E68" s="135">
        <f t="shared" si="11"/>
        <v>0.06</v>
      </c>
      <c r="F68" s="134">
        <f t="shared" si="12"/>
        <v>986.63150339177776</v>
      </c>
      <c r="G68" s="134">
        <f t="shared" si="12"/>
        <v>1422.1893546922295</v>
      </c>
      <c r="H68" s="101">
        <f t="shared" si="21"/>
        <v>177.16847617279996</v>
      </c>
      <c r="I68" s="135">
        <f t="shared" si="21"/>
        <v>0.02</v>
      </c>
      <c r="J68" s="134">
        <f t="shared" si="13"/>
        <v>28.443787093844584</v>
      </c>
      <c r="K68" s="134">
        <f t="shared" si="13"/>
        <v>1393.7455675983847</v>
      </c>
      <c r="L68" s="134">
        <f t="shared" si="14"/>
        <v>140</v>
      </c>
      <c r="M68" s="101">
        <f t="shared" si="15"/>
        <v>102.0547046346464</v>
      </c>
      <c r="N68" s="136">
        <f t="shared" si="22"/>
        <v>6801.2171017232204</v>
      </c>
      <c r="O68" s="134">
        <f t="shared" si="16"/>
        <v>87805.97075869824</v>
      </c>
      <c r="P68" s="101">
        <f t="shared" si="16"/>
        <v>2814207.3317017276</v>
      </c>
      <c r="Q68" s="101">
        <f t="shared" si="16"/>
        <v>211065.54987762959</v>
      </c>
      <c r="R68" s="101">
        <f t="shared" si="16"/>
        <v>262539.85256850778</v>
      </c>
      <c r="S68" s="134">
        <f t="shared" si="17"/>
        <v>55.800000000000004</v>
      </c>
      <c r="T68" s="135">
        <f t="shared" si="18"/>
        <v>0.10000000000000002</v>
      </c>
      <c r="U68" s="137">
        <f t="shared" si="23"/>
        <v>6121.095391550899</v>
      </c>
      <c r="V68" s="134">
        <f t="shared" si="19"/>
        <v>77771.002671989874</v>
      </c>
      <c r="W68" s="101">
        <f t="shared" si="20"/>
        <v>2532786.5985315554</v>
      </c>
      <c r="X68" s="101">
        <f t="shared" si="20"/>
        <v>126639.32992657776</v>
      </c>
      <c r="Y68" s="101">
        <f t="shared" si="20"/>
        <v>310306.30066123954</v>
      </c>
      <c r="Z68" s="101">
        <f t="shared" si="20"/>
        <v>4465517.8336527701</v>
      </c>
      <c r="AA68" s="101">
        <f t="shared" si="20"/>
        <v>223275.89168263855</v>
      </c>
      <c r="AB68" s="101">
        <f t="shared" si="20"/>
        <v>264800</v>
      </c>
    </row>
    <row r="69" spans="1:29">
      <c r="A69" s="138">
        <v>46235</v>
      </c>
      <c r="B69" s="101" cm="1">
        <f t="array" ref="B69">INDEX(Fluxo_Caixa_Mensal!$J$91:$S$91, ROW(B69)-ROW($B$64)+1)</f>
        <v>201019.99999999997</v>
      </c>
      <c r="C69" s="101">
        <f t="shared" si="9"/>
        <v>10.417506398960638</v>
      </c>
      <c r="D69" s="134">
        <f t="shared" si="10"/>
        <v>19296.364437084088</v>
      </c>
      <c r="E69" s="135">
        <f t="shared" si="11"/>
        <v>0.08</v>
      </c>
      <c r="F69" s="134">
        <f t="shared" si="12"/>
        <v>1543.7091549667271</v>
      </c>
      <c r="G69" s="134">
        <f t="shared" si="12"/>
        <v>2965.8985096589563</v>
      </c>
      <c r="H69" s="101">
        <f t="shared" si="21"/>
        <v>130.21882998700798</v>
      </c>
      <c r="I69" s="135">
        <f t="shared" si="21"/>
        <v>0.03</v>
      </c>
      <c r="J69" s="134">
        <f t="shared" si="13"/>
        <v>88.976955289768682</v>
      </c>
      <c r="K69" s="134">
        <f t="shared" si="13"/>
        <v>2876.9215543691876</v>
      </c>
      <c r="L69" s="134">
        <f t="shared" si="14"/>
        <v>140</v>
      </c>
      <c r="M69" s="101">
        <f t="shared" si="15"/>
        <v>103.58552520416607</v>
      </c>
      <c r="N69" s="136">
        <f t="shared" si="22"/>
        <v>6903.2353582490687</v>
      </c>
      <c r="O69" s="134">
        <f t="shared" si="16"/>
        <v>181246.05792525882</v>
      </c>
      <c r="P69" s="101">
        <f t="shared" si="16"/>
        <v>9621353.6826480851</v>
      </c>
      <c r="Q69" s="101">
        <f t="shared" si="16"/>
        <v>721601.52619860647</v>
      </c>
      <c r="R69" s="101">
        <f t="shared" si="16"/>
        <v>541925.71319652395</v>
      </c>
      <c r="S69" s="134">
        <f t="shared" si="17"/>
        <v>55.8</v>
      </c>
      <c r="T69" s="135">
        <f t="shared" si="18"/>
        <v>0.10000000000000002</v>
      </c>
      <c r="U69" s="137">
        <f t="shared" si="23"/>
        <v>6212.911822424162</v>
      </c>
      <c r="V69" s="134">
        <f t="shared" si="19"/>
        <v>160532.22273380065</v>
      </c>
      <c r="W69" s="101">
        <f t="shared" si="20"/>
        <v>8659218.3143832777</v>
      </c>
      <c r="X69" s="101">
        <f t="shared" si="20"/>
        <v>432960.91571916395</v>
      </c>
      <c r="Y69" s="101">
        <f t="shared" si="20"/>
        <v>640523.56870786473</v>
      </c>
      <c r="Z69" s="101">
        <f t="shared" si="20"/>
        <v>13124736.148036048</v>
      </c>
      <c r="AA69" s="101">
        <f t="shared" si="20"/>
        <v>656236.80740180251</v>
      </c>
      <c r="AB69" s="101">
        <f t="shared" si="20"/>
        <v>465820</v>
      </c>
    </row>
    <row r="70" spans="1:29">
      <c r="A70" s="138">
        <v>46266</v>
      </c>
      <c r="B70" s="101" cm="1">
        <f t="array" ref="B70">INDEX(Fluxo_Caixa_Mensal!$J$91:$S$91, ROW(B70)-ROW($B$64)+1)</f>
        <v>231172.99999999994</v>
      </c>
      <c r="C70" s="101">
        <f t="shared" si="9"/>
        <v>10.209156270981426</v>
      </c>
      <c r="D70" s="134">
        <f t="shared" si="10"/>
        <v>22643.692961884386</v>
      </c>
      <c r="E70" s="135">
        <f t="shared" si="11"/>
        <v>0.08</v>
      </c>
      <c r="F70" s="134">
        <f t="shared" si="12"/>
        <v>1811.4954369507511</v>
      </c>
      <c r="G70" s="134">
        <f t="shared" si="12"/>
        <v>4777.3939466097081</v>
      </c>
      <c r="H70" s="101">
        <f t="shared" si="21"/>
        <v>127.61445338726782</v>
      </c>
      <c r="I70" s="135">
        <f t="shared" si="21"/>
        <v>0.02</v>
      </c>
      <c r="J70" s="134">
        <f t="shared" si="13"/>
        <v>95.547878932194152</v>
      </c>
      <c r="K70" s="134">
        <f t="shared" si="13"/>
        <v>4681.846067677513</v>
      </c>
      <c r="L70" s="134">
        <f t="shared" si="14"/>
        <v>140</v>
      </c>
      <c r="M70" s="101">
        <f t="shared" si="15"/>
        <v>105.13930808222857</v>
      </c>
      <c r="N70" s="136">
        <f t="shared" si="22"/>
        <v>7006.7838886228046</v>
      </c>
      <c r="O70" s="134">
        <f t="shared" si="16"/>
        <v>294956.30226368335</v>
      </c>
      <c r="P70" s="101">
        <f t="shared" si="16"/>
        <v>20157967.595985699</v>
      </c>
      <c r="Q70" s="101">
        <f t="shared" si="16"/>
        <v>1511847.5696989275</v>
      </c>
      <c r="R70" s="101">
        <f t="shared" si="16"/>
        <v>881919.34376841318</v>
      </c>
      <c r="S70" s="134">
        <f t="shared" si="17"/>
        <v>55.800000000000004</v>
      </c>
      <c r="T70" s="135">
        <f t="shared" si="18"/>
        <v>0.10000000000000002</v>
      </c>
      <c r="U70" s="137">
        <f t="shared" si="23"/>
        <v>6306.1054997605243</v>
      </c>
      <c r="V70" s="134">
        <f t="shared" si="19"/>
        <v>261247.01057640524</v>
      </c>
      <c r="W70" s="101">
        <f t="shared" si="20"/>
        <v>18142170.836387128</v>
      </c>
      <c r="X70" s="101">
        <f t="shared" si="20"/>
        <v>907108.54181935638</v>
      </c>
      <c r="Y70" s="101">
        <f t="shared" si="20"/>
        <v>1042375.5721998569</v>
      </c>
      <c r="Z70" s="101">
        <f t="shared" si="20"/>
        <v>31266906.984423175</v>
      </c>
      <c r="AA70" s="101">
        <f t="shared" si="20"/>
        <v>1563345.3492211588</v>
      </c>
      <c r="AB70" s="101">
        <f t="shared" si="20"/>
        <v>696993</v>
      </c>
    </row>
    <row r="71" spans="1:29">
      <c r="A71" s="138">
        <v>46296</v>
      </c>
      <c r="B71" s="101" cm="1">
        <f t="array" ref="B71">INDEX(Fluxo_Caixa_Mensal!$J$91:$S$91, ROW(B71)-ROW($B$64)+1)</f>
        <v>265848.9499999999</v>
      </c>
      <c r="C71" s="101">
        <f t="shared" si="9"/>
        <v>10.004973145561797</v>
      </c>
      <c r="D71" s="134">
        <f t="shared" si="10"/>
        <v>26571.680516496977</v>
      </c>
      <c r="E71" s="135">
        <f t="shared" si="11"/>
        <v>7.0000000000000007E-2</v>
      </c>
      <c r="F71" s="134">
        <f t="shared" si="12"/>
        <v>1860.0176361547888</v>
      </c>
      <c r="G71" s="134">
        <f t="shared" si="12"/>
        <v>6637.4115827644964</v>
      </c>
      <c r="H71" s="101">
        <f t="shared" si="21"/>
        <v>142.92818779373994</v>
      </c>
      <c r="I71" s="135">
        <f t="shared" si="21"/>
        <v>0.03</v>
      </c>
      <c r="J71" s="134">
        <f t="shared" si="13"/>
        <v>199.12234748293486</v>
      </c>
      <c r="K71" s="134">
        <f t="shared" si="13"/>
        <v>6438.2892352815616</v>
      </c>
      <c r="L71" s="134">
        <f t="shared" si="14"/>
        <v>140</v>
      </c>
      <c r="M71" s="101">
        <f t="shared" si="15"/>
        <v>106.71639770346199</v>
      </c>
      <c r="N71" s="136">
        <f t="shared" si="22"/>
        <v>7111.8856469521461</v>
      </c>
      <c r="O71" s="134">
        <f t="shared" si="16"/>
        <v>405612.22182273841</v>
      </c>
      <c r="P71" s="101">
        <f t="shared" si="16"/>
        <v>33296753.849955048</v>
      </c>
      <c r="Q71" s="101">
        <f t="shared" si="16"/>
        <v>2497256.5387466289</v>
      </c>
      <c r="R71" s="101">
        <f t="shared" si="16"/>
        <v>1212780.543249988</v>
      </c>
      <c r="S71" s="134">
        <f t="shared" si="17"/>
        <v>55.8</v>
      </c>
      <c r="T71" s="135">
        <f t="shared" si="18"/>
        <v>0.10000000000000002</v>
      </c>
      <c r="U71" s="137">
        <f t="shared" si="23"/>
        <v>6400.6970822569319</v>
      </c>
      <c r="V71" s="134">
        <f t="shared" si="19"/>
        <v>359256.53932871111</v>
      </c>
      <c r="W71" s="101">
        <f t="shared" si="20"/>
        <v>29967078.464959547</v>
      </c>
      <c r="X71" s="101">
        <f t="shared" si="20"/>
        <v>1498353.9232479772</v>
      </c>
      <c r="Y71" s="101">
        <f t="shared" si="20"/>
        <v>1433433.5919215577</v>
      </c>
      <c r="Z71" s="101">
        <f t="shared" si="20"/>
        <v>61233985.449382722</v>
      </c>
      <c r="AA71" s="101">
        <f t="shared" si="20"/>
        <v>3061699.2724691364</v>
      </c>
      <c r="AB71" s="101">
        <f t="shared" si="20"/>
        <v>962841.94999999984</v>
      </c>
    </row>
    <row r="72" spans="1:29">
      <c r="A72" s="138">
        <v>46327</v>
      </c>
      <c r="B72" s="101" cm="1">
        <f t="array" ref="B72">INDEX(Fluxo_Caixa_Mensal!$J$91:$S$91, ROW(B72)-ROW($B$64)+1)</f>
        <v>305726.29249999986</v>
      </c>
      <c r="C72" s="101">
        <f t="shared" si="9"/>
        <v>9.8048736826505607</v>
      </c>
      <c r="D72" s="134">
        <f t="shared" si="10"/>
        <v>31181.053667317887</v>
      </c>
      <c r="E72" s="135">
        <f t="shared" si="11"/>
        <v>0.10000000000000002</v>
      </c>
      <c r="F72" s="134">
        <f t="shared" si="12"/>
        <v>3118.1053667317883</v>
      </c>
      <c r="G72" s="134">
        <f t="shared" si="12"/>
        <v>9755.5169494962847</v>
      </c>
      <c r="H72" s="101">
        <f t="shared" si="21"/>
        <v>98.048736826505603</v>
      </c>
      <c r="I72" s="135">
        <f t="shared" si="21"/>
        <v>0.03</v>
      </c>
      <c r="J72" s="134">
        <f t="shared" si="13"/>
        <v>292.66550848488851</v>
      </c>
      <c r="K72" s="134">
        <f t="shared" si="13"/>
        <v>9462.8514410113949</v>
      </c>
      <c r="L72" s="134">
        <f t="shared" si="14"/>
        <v>140</v>
      </c>
      <c r="M72" s="101">
        <f t="shared" si="15"/>
        <v>108.3171436690139</v>
      </c>
      <c r="N72" s="136">
        <f t="shared" si="22"/>
        <v>7218.5639316564275</v>
      </c>
      <c r="O72" s="134">
        <f t="shared" si="16"/>
        <v>596159.64078371797</v>
      </c>
      <c r="P72" s="101">
        <f t="shared" si="16"/>
        <v>46475202.455375314</v>
      </c>
      <c r="Q72" s="101">
        <f t="shared" si="16"/>
        <v>3485640.1841531489</v>
      </c>
      <c r="R72" s="101">
        <f t="shared" si="16"/>
        <v>1782517.3259433168</v>
      </c>
      <c r="S72" s="134">
        <f t="shared" si="17"/>
        <v>55.800000000000011</v>
      </c>
      <c r="T72" s="135">
        <f t="shared" si="18"/>
        <v>0.10000000000000002</v>
      </c>
      <c r="U72" s="137">
        <f t="shared" si="23"/>
        <v>6496.7075384907857</v>
      </c>
      <c r="V72" s="134">
        <f t="shared" si="19"/>
        <v>528027.11040843592</v>
      </c>
      <c r="W72" s="101">
        <f t="shared" si="20"/>
        <v>41827682.209837794</v>
      </c>
      <c r="X72" s="101">
        <f t="shared" si="20"/>
        <v>2091384.1104918895</v>
      </c>
      <c r="Y72" s="101">
        <f t="shared" si="20"/>
        <v>2106828.1705296598</v>
      </c>
      <c r="Z72" s="101">
        <f t="shared" si="20"/>
        <v>103061667.65922052</v>
      </c>
      <c r="AA72" s="101">
        <f t="shared" si="20"/>
        <v>5153083.3829610264</v>
      </c>
      <c r="AB72" s="101">
        <f t="shared" si="20"/>
        <v>1268568.2424999997</v>
      </c>
    </row>
    <row r="73" spans="1:29">
      <c r="A73" s="138">
        <v>46357</v>
      </c>
      <c r="B73" s="101" cm="1">
        <f t="array" ref="B73">INDEX(Fluxo_Caixa_Mensal!$J$91:$S$91, ROW(B73)-ROW($B$64)+1)</f>
        <v>351585.2363749998</v>
      </c>
      <c r="C73" s="101">
        <f t="shared" si="9"/>
        <v>9.6087762089975488</v>
      </c>
      <c r="D73" s="134">
        <f t="shared" si="10"/>
        <v>36590.011956546499</v>
      </c>
      <c r="E73" s="135">
        <f t="shared" si="11"/>
        <v>0.04</v>
      </c>
      <c r="F73" s="134">
        <f t="shared" si="12"/>
        <v>1463.6004782618597</v>
      </c>
      <c r="G73" s="134">
        <f t="shared" si="12"/>
        <v>11219.117427758143</v>
      </c>
      <c r="H73" s="101">
        <f t="shared" si="21"/>
        <v>240.2194052249387</v>
      </c>
      <c r="I73" s="135">
        <f t="shared" si="21"/>
        <v>0.10000000000000002</v>
      </c>
      <c r="J73" s="134">
        <f t="shared" si="13"/>
        <v>1121.9117427758144</v>
      </c>
      <c r="K73" s="134">
        <f t="shared" si="13"/>
        <v>10097.205684982329</v>
      </c>
      <c r="L73" s="134">
        <f t="shared" si="14"/>
        <v>140</v>
      </c>
      <c r="M73" s="101">
        <f t="shared" si="15"/>
        <v>109.94190082404911</v>
      </c>
      <c r="N73" s="136">
        <f t="shared" si="22"/>
        <v>7326.8423906312719</v>
      </c>
      <c r="O73" s="134">
        <f t="shared" si="16"/>
        <v>636123.95815388684</v>
      </c>
      <c r="P73" s="101">
        <f t="shared" si="16"/>
        <v>69332821.074248523</v>
      </c>
      <c r="Q73" s="101">
        <f t="shared" si="16"/>
        <v>5199961.5805686377</v>
      </c>
      <c r="R73" s="101">
        <f t="shared" si="16"/>
        <v>1902010.6348801218</v>
      </c>
      <c r="S73" s="134">
        <f t="shared" si="17"/>
        <v>55.8</v>
      </c>
      <c r="T73" s="135">
        <f t="shared" si="18"/>
        <v>0.10000000000000002</v>
      </c>
      <c r="U73" s="137">
        <f t="shared" si="23"/>
        <v>6594.1581515681446</v>
      </c>
      <c r="V73" s="134">
        <f t="shared" si="19"/>
        <v>563424.07722201396</v>
      </c>
      <c r="W73" s="101">
        <f t="shared" si="20"/>
        <v>62399538.966823667</v>
      </c>
      <c r="X73" s="101">
        <f t="shared" si="20"/>
        <v>3119976.9483411834</v>
      </c>
      <c r="Y73" s="101">
        <f t="shared" si="20"/>
        <v>2248062.068115836</v>
      </c>
      <c r="Z73" s="101">
        <f t="shared" si="20"/>
        <v>165461206.62604418</v>
      </c>
      <c r="AA73" s="101">
        <f t="shared" si="20"/>
        <v>8273060.3313022098</v>
      </c>
      <c r="AB73" s="101">
        <f t="shared" si="20"/>
        <v>1620153.4788749996</v>
      </c>
    </row>
    <row r="74" spans="1:29" s="86" customFormat="1">
      <c r="A74" s="79"/>
      <c r="B74" s="80">
        <f>SUBTOTAL(109,B60:B73)</f>
        <v>1620153.4788749996</v>
      </c>
      <c r="C74" s="80">
        <f>SUBTOTAL(101,C60:C73)</f>
        <v>10.764163813259996</v>
      </c>
      <c r="D74" s="81">
        <f>SUM(D62:D73)</f>
        <v>160877.81118852727</v>
      </c>
      <c r="E74" s="82"/>
      <c r="F74" s="83">
        <f>SUM(F62:F73)</f>
        <v>11219.117427758145</v>
      </c>
      <c r="G74" s="83"/>
      <c r="H74" s="80">
        <f>AVERAGE(H62:H73)</f>
        <v>163.14807805202165</v>
      </c>
      <c r="I74" s="84">
        <f>AVERAGE(I62:I73)</f>
        <v>3.9166666666666676E-2</v>
      </c>
      <c r="J74" s="83"/>
      <c r="K74" s="83">
        <f>K73</f>
        <v>10097.205684982329</v>
      </c>
      <c r="L74" s="83">
        <f>AVERAGE(L60:L73)</f>
        <v>140</v>
      </c>
      <c r="M74" s="83">
        <f>AVERAGE(M60:M73)</f>
        <v>101.43164446153673</v>
      </c>
      <c r="N74" s="80">
        <f>SUBTOTAL(101,N60:N73)</f>
        <v>6858.3035099383242</v>
      </c>
      <c r="O74" s="83">
        <f>O73</f>
        <v>636123.95815388684</v>
      </c>
      <c r="P74" s="85">
        <f>SUBTOTAL(109,R60:R73)</f>
        <v>6722306.4342812067</v>
      </c>
      <c r="Q74" s="85">
        <f>SUBTOTAL(109,S60:S73)</f>
        <v>545.6</v>
      </c>
      <c r="R74" s="85">
        <f>SUM(R62:R73)</f>
        <v>6722306.4342812067</v>
      </c>
      <c r="S74" s="83">
        <f>AVERAGE(S62:S73)</f>
        <v>54.56</v>
      </c>
      <c r="T74" s="139">
        <f>AVERAGE((T63:T73))</f>
        <v>0.1454545454545455</v>
      </c>
      <c r="U74" s="85">
        <f>AVERAGE(U62:U73)</f>
        <v>6044.3131689444936</v>
      </c>
      <c r="V74" s="83">
        <f>V73</f>
        <v>563424.07722201396</v>
      </c>
      <c r="W74" s="80">
        <f>SUBTOTAL(109,AA60:AA73)</f>
        <v>19059185.220864646</v>
      </c>
      <c r="X74" s="80">
        <f>SUM(X62:X73)</f>
        <v>8273060.3313022088</v>
      </c>
      <c r="Y74" s="80">
        <f>SUM(Y62:Y73)</f>
        <v>7944150.8911543591</v>
      </c>
      <c r="Z74" s="80"/>
    </row>
    <row r="75" spans="1:29">
      <c r="A75" s="87"/>
      <c r="D75" s="15"/>
      <c r="F75" s="15"/>
      <c r="M75" s="15"/>
      <c r="O75" s="15"/>
      <c r="P75" s="15"/>
      <c r="Q75" s="15"/>
      <c r="R75" s="15"/>
      <c r="S75" s="15"/>
      <c r="T75" s="15"/>
      <c r="U75" s="62"/>
      <c r="X75" s="83"/>
      <c r="Y75" s="83"/>
      <c r="Z75" s="83"/>
      <c r="AC75" s="15"/>
    </row>
    <row r="76" spans="1:29">
      <c r="A76" s="87"/>
      <c r="D76" s="15"/>
      <c r="F76" s="89"/>
      <c r="G76" s="90"/>
      <c r="J76" s="89" t="s">
        <v>253</v>
      </c>
      <c r="K76" s="90">
        <f>K74/130000</f>
        <v>7.7670812961402533E-2</v>
      </c>
      <c r="M76" s="15"/>
      <c r="O76" s="15"/>
      <c r="P76" s="15"/>
      <c r="Q76" s="15"/>
      <c r="R76" s="15"/>
      <c r="S76" s="15"/>
      <c r="T76" s="15"/>
      <c r="U76" s="62"/>
      <c r="X76" s="62"/>
      <c r="Y76" s="62"/>
      <c r="Z76" s="62"/>
      <c r="AA76" s="93" t="s">
        <v>275</v>
      </c>
      <c r="AB76" s="89">
        <f>X74*30%</f>
        <v>2481918.0993906627</v>
      </c>
      <c r="AC76" s="89"/>
    </row>
    <row r="83" spans="17:25">
      <c r="W83" s="14"/>
      <c r="X83" s="14"/>
      <c r="Y83" s="14"/>
    </row>
    <row r="89" spans="17:25">
      <c r="R89">
        <f>11000/2.99</f>
        <v>3678.9297658862874</v>
      </c>
    </row>
    <row r="90" spans="17:25">
      <c r="Q90">
        <v>66</v>
      </c>
    </row>
    <row r="92" spans="17:25">
      <c r="Q92">
        <f>R89/Q90</f>
        <v>55.741360089186173</v>
      </c>
    </row>
  </sheetData>
  <dataConsolidate/>
  <pageMargins left="0.7" right="0.7" top="0.75" bottom="0.75" header="0.3" footer="0.3"/>
  <pageSetup paperSize="8" orientation="portrait" horizontalDpi="0" verticalDpi="0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E2BA-953F-C34A-9E2B-1F09D7A79F84}">
  <sheetPr>
    <tabColor theme="6"/>
  </sheetPr>
  <dimension ref="A2:M68"/>
  <sheetViews>
    <sheetView topLeftCell="A25" zoomScale="132" zoomScaleNormal="180" workbookViewId="0">
      <selection activeCell="E62" sqref="E62"/>
    </sheetView>
  </sheetViews>
  <sheetFormatPr defaultColWidth="11.42578125" defaultRowHeight="15"/>
  <cols>
    <col min="1" max="1" width="23" bestFit="1" customWidth="1"/>
    <col min="2" max="2" width="15.140625" bestFit="1" customWidth="1"/>
    <col min="3" max="4" width="11" customWidth="1"/>
    <col min="5" max="5" width="37.42578125" bestFit="1" customWidth="1"/>
    <col min="6" max="6" width="36.42578125" bestFit="1" customWidth="1"/>
    <col min="7" max="7" width="35.7109375" customWidth="1"/>
    <col min="8" max="8" width="13.7109375" bestFit="1" customWidth="1"/>
    <col min="10" max="10" width="12" customWidth="1"/>
    <col min="11" max="11" width="17.140625" customWidth="1"/>
    <col min="13" max="13" width="15" bestFit="1" customWidth="1"/>
  </cols>
  <sheetData>
    <row r="2" spans="1:2">
      <c r="A2" s="93" t="s">
        <v>0</v>
      </c>
      <c r="B2" s="93" t="s">
        <v>1</v>
      </c>
    </row>
    <row r="3" spans="1:2">
      <c r="A3" t="s">
        <v>284</v>
      </c>
      <c r="B3" s="132">
        <v>339000</v>
      </c>
    </row>
    <row r="4" spans="1:2">
      <c r="A4" t="s">
        <v>285</v>
      </c>
      <c r="B4" s="132">
        <v>50000</v>
      </c>
    </row>
    <row r="5" spans="1:2">
      <c r="A5" t="s">
        <v>286</v>
      </c>
      <c r="B5" s="132">
        <v>5000</v>
      </c>
    </row>
    <row r="6" spans="1:2">
      <c r="A6" t="s">
        <v>287</v>
      </c>
      <c r="B6" s="132">
        <v>40000</v>
      </c>
    </row>
    <row r="7" spans="1:2">
      <c r="A7" t="s">
        <v>288</v>
      </c>
      <c r="B7" s="88">
        <v>0.02</v>
      </c>
    </row>
    <row r="8" spans="1:2">
      <c r="A8" t="s">
        <v>289</v>
      </c>
      <c r="B8" s="88">
        <v>0.05</v>
      </c>
    </row>
    <row r="9" spans="1:2">
      <c r="A9" t="s">
        <v>290</v>
      </c>
      <c r="B9" s="132">
        <v>20000</v>
      </c>
    </row>
    <row r="10" spans="1:2">
      <c r="A10" t="s">
        <v>291</v>
      </c>
      <c r="B10" s="88">
        <v>0.15</v>
      </c>
    </row>
    <row r="11" spans="1:2">
      <c r="A11" t="s">
        <v>292</v>
      </c>
      <c r="B11" s="88">
        <v>7.0000000000000007E-2</v>
      </c>
    </row>
    <row r="12" spans="1:2">
      <c r="A12" t="s">
        <v>293</v>
      </c>
      <c r="B12" s="132">
        <v>4000</v>
      </c>
    </row>
    <row r="13" spans="1:2">
      <c r="A13" t="s">
        <v>294</v>
      </c>
      <c r="B13" s="88">
        <v>0.04</v>
      </c>
    </row>
    <row r="14" spans="1:2">
      <c r="A14" t="s">
        <v>295</v>
      </c>
      <c r="B14" s="140">
        <v>1050</v>
      </c>
    </row>
    <row r="15" spans="1:2">
      <c r="A15" t="s">
        <v>296</v>
      </c>
      <c r="B15" s="88">
        <f>B30</f>
        <v>0.05</v>
      </c>
    </row>
    <row r="16" spans="1:2">
      <c r="A16" t="s">
        <v>297</v>
      </c>
      <c r="B16" s="88">
        <f t="shared" ref="B16:B17" si="0">B31</f>
        <v>0.05</v>
      </c>
    </row>
    <row r="17" spans="1:4">
      <c r="A17" t="s">
        <v>298</v>
      </c>
      <c r="B17" s="88">
        <f t="shared" si="0"/>
        <v>0.1</v>
      </c>
    </row>
    <row r="18" spans="1:4">
      <c r="A18" t="s">
        <v>299</v>
      </c>
      <c r="B18" s="88">
        <f>B33</f>
        <v>0.15</v>
      </c>
    </row>
    <row r="19" spans="1:4">
      <c r="A19" t="s">
        <v>300</v>
      </c>
      <c r="B19" s="141">
        <f>B33</f>
        <v>0.15</v>
      </c>
    </row>
    <row r="23" spans="1:4">
      <c r="A23" s="93" t="s">
        <v>301</v>
      </c>
      <c r="B23" s="93" t="s">
        <v>302</v>
      </c>
    </row>
    <row r="24" spans="1:4">
      <c r="A24" t="s">
        <v>303</v>
      </c>
      <c r="B24" s="93">
        <f>B6*B7*B8</f>
        <v>40</v>
      </c>
    </row>
    <row r="25" spans="1:4">
      <c r="A25" t="s">
        <v>304</v>
      </c>
      <c r="B25" s="93">
        <f>B9*B10*B11</f>
        <v>210.00000000000003</v>
      </c>
    </row>
    <row r="26" spans="1:4">
      <c r="A26" t="s">
        <v>305</v>
      </c>
      <c r="B26" s="93">
        <f>B12*B13</f>
        <v>160</v>
      </c>
    </row>
    <row r="27" spans="1:4">
      <c r="A27" s="93" t="s">
        <v>306</v>
      </c>
      <c r="B27" s="140">
        <f>SUM(B24:B26)</f>
        <v>410</v>
      </c>
    </row>
    <row r="29" spans="1:4">
      <c r="A29" s="93" t="s">
        <v>219</v>
      </c>
      <c r="B29" s="93" t="s">
        <v>307</v>
      </c>
      <c r="C29" s="93" t="s">
        <v>308</v>
      </c>
    </row>
    <row r="30" spans="1:4">
      <c r="A30">
        <v>1</v>
      </c>
      <c r="B30" s="88">
        <v>0.05</v>
      </c>
      <c r="C30" s="83">
        <f>$B$27*B30</f>
        <v>20.5</v>
      </c>
      <c r="D30" s="93"/>
    </row>
    <row r="31" spans="1:4">
      <c r="A31">
        <v>2</v>
      </c>
      <c r="B31" s="88">
        <v>0.05</v>
      </c>
      <c r="C31" s="83">
        <f t="shared" ref="C31:C41" si="1">$B$27*B31</f>
        <v>20.5</v>
      </c>
      <c r="D31" s="83"/>
    </row>
    <row r="32" spans="1:4">
      <c r="A32">
        <v>3</v>
      </c>
      <c r="B32" s="88">
        <v>0.1</v>
      </c>
      <c r="C32" s="83">
        <f t="shared" si="1"/>
        <v>41</v>
      </c>
      <c r="D32" s="83"/>
    </row>
    <row r="33" spans="1:13">
      <c r="A33">
        <v>4</v>
      </c>
      <c r="B33" s="141">
        <v>0.15</v>
      </c>
      <c r="C33" s="83">
        <f t="shared" si="1"/>
        <v>61.5</v>
      </c>
      <c r="D33" s="83"/>
    </row>
    <row r="34" spans="1:13">
      <c r="A34">
        <v>5</v>
      </c>
      <c r="B34" s="141">
        <v>0.15</v>
      </c>
      <c r="C34" s="83">
        <f t="shared" si="1"/>
        <v>61.5</v>
      </c>
      <c r="D34" s="83"/>
    </row>
    <row r="35" spans="1:13">
      <c r="A35">
        <v>6</v>
      </c>
      <c r="B35" s="141">
        <v>0.15</v>
      </c>
      <c r="C35" s="83">
        <f t="shared" si="1"/>
        <v>61.5</v>
      </c>
      <c r="D35" s="83"/>
    </row>
    <row r="36" spans="1:13">
      <c r="A36">
        <v>7</v>
      </c>
      <c r="B36" s="141">
        <v>0.155</v>
      </c>
      <c r="C36" s="83">
        <f t="shared" si="1"/>
        <v>63.55</v>
      </c>
      <c r="D36" s="83"/>
    </row>
    <row r="37" spans="1:13">
      <c r="A37">
        <v>8</v>
      </c>
      <c r="B37" s="141">
        <v>3.8899999999999997E-2</v>
      </c>
      <c r="C37" s="83">
        <f t="shared" si="1"/>
        <v>15.948999999999998</v>
      </c>
      <c r="D37" s="83"/>
    </row>
    <row r="38" spans="1:13">
      <c r="A38">
        <v>9</v>
      </c>
      <c r="B38" s="141">
        <v>3.8899999999999997E-2</v>
      </c>
      <c r="C38" s="83">
        <f t="shared" si="1"/>
        <v>15.948999999999998</v>
      </c>
      <c r="D38" s="83"/>
      <c r="F38">
        <v>20</v>
      </c>
    </row>
    <row r="39" spans="1:13">
      <c r="A39">
        <v>10</v>
      </c>
      <c r="B39" s="141">
        <v>3.8899999999999997E-2</v>
      </c>
      <c r="C39" s="83">
        <f t="shared" si="1"/>
        <v>15.948999999999998</v>
      </c>
      <c r="D39" s="83"/>
      <c r="F39">
        <v>10</v>
      </c>
    </row>
    <row r="40" spans="1:13">
      <c r="A40">
        <v>11</v>
      </c>
      <c r="B40" s="141">
        <v>3.8899999999999997E-2</v>
      </c>
      <c r="C40" s="83">
        <f t="shared" si="1"/>
        <v>15.948999999999998</v>
      </c>
      <c r="D40" s="83"/>
      <c r="F40">
        <v>5</v>
      </c>
    </row>
    <row r="41" spans="1:13">
      <c r="A41">
        <v>12</v>
      </c>
      <c r="B41" s="141">
        <v>3.8899999999999997E-2</v>
      </c>
      <c r="C41" s="83">
        <f t="shared" si="1"/>
        <v>15.948999999999998</v>
      </c>
      <c r="D41" s="83"/>
    </row>
    <row r="42" spans="1:13">
      <c r="B42" s="146">
        <f>SUBTOTAL(109,B30:B41)</f>
        <v>0.99950000000000028</v>
      </c>
      <c r="C42" s="62">
        <f>SUM(C30:C41)</f>
        <v>409.79500000000007</v>
      </c>
      <c r="D42" s="83"/>
      <c r="E42" s="142" t="s">
        <v>309</v>
      </c>
      <c r="F42" s="142" t="s">
        <v>309</v>
      </c>
      <c r="G42" s="142" t="s">
        <v>309</v>
      </c>
    </row>
    <row r="43" spans="1:13">
      <c r="D43" s="62"/>
      <c r="E43" s="143">
        <f>20000*5%</f>
        <v>1000</v>
      </c>
      <c r="F43" s="143">
        <f>10000*5%</f>
        <v>500</v>
      </c>
      <c r="G43" s="143">
        <f>3000*5%</f>
        <v>150</v>
      </c>
    </row>
    <row r="45" spans="1:13">
      <c r="E45" s="93" t="s">
        <v>310</v>
      </c>
      <c r="F45" s="93" t="s">
        <v>311</v>
      </c>
      <c r="G45" s="93" t="s">
        <v>312</v>
      </c>
      <c r="H45" s="93"/>
    </row>
    <row r="46" spans="1:13">
      <c r="A46" s="93" t="s">
        <v>219</v>
      </c>
      <c r="B46" s="93" t="s">
        <v>216</v>
      </c>
      <c r="C46" s="93" t="s">
        <v>313</v>
      </c>
      <c r="D46" s="93" t="s">
        <v>314</v>
      </c>
      <c r="E46" s="93" t="s">
        <v>315</v>
      </c>
      <c r="F46" s="93" t="s">
        <v>316</v>
      </c>
      <c r="G46" s="93" t="s">
        <v>317</v>
      </c>
      <c r="H46" s="93" t="s">
        <v>318</v>
      </c>
      <c r="I46" s="93" t="s">
        <v>319</v>
      </c>
      <c r="J46" s="93" t="s">
        <v>320</v>
      </c>
      <c r="K46" s="93" t="s">
        <v>321</v>
      </c>
      <c r="L46" s="93" t="s">
        <v>322</v>
      </c>
      <c r="M46" s="93" t="s">
        <v>323</v>
      </c>
    </row>
    <row r="47" spans="1:13">
      <c r="A47">
        <v>1</v>
      </c>
      <c r="B47" s="62">
        <f t="shared" ref="B47:B58" si="2">C30</f>
        <v>20.5</v>
      </c>
      <c r="C47" s="62">
        <f>B47</f>
        <v>20.5</v>
      </c>
      <c r="D47" s="62">
        <f>Table11[[#This Row],[Base ativa]]*4%</f>
        <v>0.82000000000000006</v>
      </c>
      <c r="E47" s="132">
        <f>((Table11[[#This Row],[Base ativa]]-Table11[[#This Row],[Churn (4%)]])*20%)*($E$43)</f>
        <v>3936</v>
      </c>
      <c r="F47" s="132">
        <f>((Table11[[#This Row],[Base ativa]]-Table11[[#This Row],[Churn (4%)]])*40%)*($F$43)</f>
        <v>3936</v>
      </c>
      <c r="G47" s="132">
        <f>((Table11[[#This Row],[Base ativa]]-Table11[[#This Row],[Churn (4%)]])*40%)*($G$43)</f>
        <v>1180.8</v>
      </c>
      <c r="H47" s="132">
        <f>Table11[[#This Row],[Receita (Base ativa - Churn) × (1000) // 20%]]+Table11[[#This Row],[Receita (Base ativa - Churn) × (500) // 40%]]+Table11[[#This Row],[Receita (Base ativa - Churn) × (250) // 40%]]</f>
        <v>9052.7999999999993</v>
      </c>
      <c r="I47" s="132">
        <f>H47*20%</f>
        <v>1810.56</v>
      </c>
      <c r="J47" s="132">
        <f>Table11[[#This Row],[Receita Total]]*5%</f>
        <v>452.64</v>
      </c>
      <c r="K47" s="132">
        <v>20000</v>
      </c>
      <c r="L47" s="132">
        <f>SUM(I47:K47)</f>
        <v>22263.200000000001</v>
      </c>
      <c r="M47" s="140">
        <f>H47-L47</f>
        <v>-13210.400000000001</v>
      </c>
    </row>
    <row r="48" spans="1:13">
      <c r="A48">
        <v>2</v>
      </c>
      <c r="B48" s="62">
        <f t="shared" si="2"/>
        <v>20.5</v>
      </c>
      <c r="C48" s="62">
        <f>C47+B48</f>
        <v>41</v>
      </c>
      <c r="D48" s="62">
        <f>Table11[[#This Row],[Base ativa]]*4%</f>
        <v>1.6400000000000001</v>
      </c>
      <c r="E48" s="132">
        <f>((Table11[[#This Row],[Base ativa]]-Table11[[#This Row],[Churn (4%)]])*20%)*($E$43)</f>
        <v>7872</v>
      </c>
      <c r="F48" s="132">
        <f>((Table11[[#This Row],[Base ativa]]-Table11[[#This Row],[Churn (4%)]])*40%)*($F$43)</f>
        <v>7872</v>
      </c>
      <c r="G48" s="132">
        <f>((Table11[[#This Row],[Base ativa]]-Table11[[#This Row],[Churn (4%)]])*40%)*($G$43)</f>
        <v>2361.6</v>
      </c>
      <c r="H48" s="132">
        <f>Table11[[#This Row],[Receita (Base ativa - Churn) × (1000) // 20%]]+Table11[[#This Row],[Receita (Base ativa - Churn) × (500) // 40%]]+Table11[[#This Row],[Receita (Base ativa - Churn) × (250) // 40%]]</f>
        <v>18105.599999999999</v>
      </c>
      <c r="I48" s="132">
        <f t="shared" ref="I48:I58" si="3">H48*20%</f>
        <v>3621.12</v>
      </c>
      <c r="J48" s="132">
        <f>Table11[[#This Row],[Receita Total]]*5%</f>
        <v>905.28</v>
      </c>
      <c r="K48" s="132">
        <v>20000</v>
      </c>
      <c r="L48" s="132">
        <f t="shared" ref="L48:L58" si="4">SUM(I48:K48)</f>
        <v>24526.400000000001</v>
      </c>
      <c r="M48" s="140">
        <f t="shared" ref="M48:M58" si="5">H48-L48</f>
        <v>-6420.8000000000029</v>
      </c>
    </row>
    <row r="49" spans="1:13">
      <c r="A49">
        <v>3</v>
      </c>
      <c r="B49" s="62">
        <f t="shared" si="2"/>
        <v>41</v>
      </c>
      <c r="C49" s="62">
        <f t="shared" ref="C49:C58" si="6">C48+B49</f>
        <v>82</v>
      </c>
      <c r="D49" s="62">
        <f>Table11[[#This Row],[Base ativa]]*4%</f>
        <v>3.2800000000000002</v>
      </c>
      <c r="E49" s="132">
        <f>((Table11[[#This Row],[Base ativa]]-Table11[[#This Row],[Churn (4%)]])*20%)*($E$43)</f>
        <v>15744</v>
      </c>
      <c r="F49" s="132">
        <f>((Table11[[#This Row],[Base ativa]]-Table11[[#This Row],[Churn (4%)]])*40%)*($F$43)</f>
        <v>15744</v>
      </c>
      <c r="G49" s="132">
        <f>((Table11[[#This Row],[Base ativa]]-Table11[[#This Row],[Churn (4%)]])*40%)*($G$43)</f>
        <v>4723.2</v>
      </c>
      <c r="H49" s="132">
        <f>Table11[[#This Row],[Receita (Base ativa - Churn) × (1000) // 20%]]+Table11[[#This Row],[Receita (Base ativa - Churn) × (500) // 40%]]+Table11[[#This Row],[Receita (Base ativa - Churn) × (250) // 40%]]</f>
        <v>36211.199999999997</v>
      </c>
      <c r="I49" s="132">
        <f t="shared" si="3"/>
        <v>7242.24</v>
      </c>
      <c r="J49" s="132">
        <f>Table11[[#This Row],[Receita Total]]*5%</f>
        <v>1810.56</v>
      </c>
      <c r="K49" s="132">
        <v>20000</v>
      </c>
      <c r="L49" s="132">
        <f t="shared" si="4"/>
        <v>29052.799999999999</v>
      </c>
      <c r="M49" s="140">
        <f t="shared" si="5"/>
        <v>7158.3999999999978</v>
      </c>
    </row>
    <row r="50" spans="1:13">
      <c r="A50">
        <v>4</v>
      </c>
      <c r="B50" s="62">
        <f t="shared" si="2"/>
        <v>61.5</v>
      </c>
      <c r="C50" s="62">
        <f t="shared" si="6"/>
        <v>143.5</v>
      </c>
      <c r="D50" s="62">
        <f>Table11[[#This Row],[Base ativa]]*4%</f>
        <v>5.74</v>
      </c>
      <c r="E50" s="132">
        <f>((Table11[[#This Row],[Base ativa]]-Table11[[#This Row],[Churn (4%)]])*20%)*($E$43)</f>
        <v>27552</v>
      </c>
      <c r="F50" s="132">
        <f>((Table11[[#This Row],[Base ativa]]-Table11[[#This Row],[Churn (4%)]])*40%)*($F$43)</f>
        <v>27552</v>
      </c>
      <c r="G50" s="132">
        <f>((Table11[[#This Row],[Base ativa]]-Table11[[#This Row],[Churn (4%)]])*40%)*($G$43)</f>
        <v>8265.6</v>
      </c>
      <c r="H50" s="132">
        <f>Table11[[#This Row],[Receita (Base ativa - Churn) × (1000) // 20%]]+Table11[[#This Row],[Receita (Base ativa - Churn) × (500) // 40%]]+Table11[[#This Row],[Receita (Base ativa - Churn) × (250) // 40%]]</f>
        <v>63369.599999999999</v>
      </c>
      <c r="I50" s="132">
        <f t="shared" si="3"/>
        <v>12673.92</v>
      </c>
      <c r="J50" s="132">
        <f>Table11[[#This Row],[Receita Total]]*5%</f>
        <v>3168.48</v>
      </c>
      <c r="K50" s="132">
        <v>20000</v>
      </c>
      <c r="L50" s="132">
        <f t="shared" si="4"/>
        <v>35842.400000000001</v>
      </c>
      <c r="M50" s="140">
        <f t="shared" si="5"/>
        <v>27527.199999999997</v>
      </c>
    </row>
    <row r="51" spans="1:13">
      <c r="A51">
        <v>5</v>
      </c>
      <c r="B51" s="62">
        <f t="shared" si="2"/>
        <v>61.5</v>
      </c>
      <c r="C51" s="62">
        <f t="shared" si="6"/>
        <v>205</v>
      </c>
      <c r="D51" s="62">
        <f>Table11[[#This Row],[Base ativa]]*4%</f>
        <v>8.1999999999999993</v>
      </c>
      <c r="E51" s="132">
        <f>((Table11[[#This Row],[Base ativa]]-Table11[[#This Row],[Churn (4%)]])*20%)*($E$43)</f>
        <v>39360.000000000007</v>
      </c>
      <c r="F51" s="132">
        <f>((Table11[[#This Row],[Base ativa]]-Table11[[#This Row],[Churn (4%)]])*40%)*($F$43)</f>
        <v>39360.000000000007</v>
      </c>
      <c r="G51" s="132">
        <f>((Table11[[#This Row],[Base ativa]]-Table11[[#This Row],[Churn (4%)]])*40%)*($G$43)</f>
        <v>11808.000000000002</v>
      </c>
      <c r="H51" s="132">
        <f>Table11[[#This Row],[Receita (Base ativa - Churn) × (1000) // 20%]]+Table11[[#This Row],[Receita (Base ativa - Churn) × (500) // 40%]]+Table11[[#This Row],[Receita (Base ativa - Churn) × (250) // 40%]]</f>
        <v>90528.000000000015</v>
      </c>
      <c r="I51" s="132">
        <f t="shared" si="3"/>
        <v>18105.600000000002</v>
      </c>
      <c r="J51" s="132">
        <f>Table11[[#This Row],[Receita Total]]*5%</f>
        <v>4526.4000000000005</v>
      </c>
      <c r="K51" s="132">
        <v>20000</v>
      </c>
      <c r="L51" s="132">
        <f t="shared" si="4"/>
        <v>42632</v>
      </c>
      <c r="M51" s="140">
        <f t="shared" si="5"/>
        <v>47896.000000000015</v>
      </c>
    </row>
    <row r="52" spans="1:13">
      <c r="A52">
        <v>6</v>
      </c>
      <c r="B52" s="62">
        <f t="shared" si="2"/>
        <v>61.5</v>
      </c>
      <c r="C52" s="62">
        <f t="shared" si="6"/>
        <v>266.5</v>
      </c>
      <c r="D52" s="62">
        <f>Table11[[#This Row],[Base ativa]]*4%</f>
        <v>10.66</v>
      </c>
      <c r="E52" s="132">
        <f>((Table11[[#This Row],[Base ativa]]-Table11[[#This Row],[Churn (4%)]])*20%)*($E$43)</f>
        <v>51168.000000000007</v>
      </c>
      <c r="F52" s="132">
        <f>((Table11[[#This Row],[Base ativa]]-Table11[[#This Row],[Churn (4%)]])*40%)*($F$43)</f>
        <v>51168.000000000007</v>
      </c>
      <c r="G52" s="132">
        <f>((Table11[[#This Row],[Base ativa]]-Table11[[#This Row],[Churn (4%)]])*40%)*($G$43)</f>
        <v>15350.400000000001</v>
      </c>
      <c r="H52" s="132">
        <f>Table11[[#This Row],[Receita (Base ativa - Churn) × (1000) // 20%]]+Table11[[#This Row],[Receita (Base ativa - Churn) × (500) // 40%]]+Table11[[#This Row],[Receita (Base ativa - Churn) × (250) // 40%]]</f>
        <v>117686.40000000002</v>
      </c>
      <c r="I52" s="132">
        <f t="shared" si="3"/>
        <v>23537.280000000006</v>
      </c>
      <c r="J52" s="132">
        <f>Table11[[#This Row],[Receita Total]]*5%</f>
        <v>5884.3200000000015</v>
      </c>
      <c r="K52" s="132">
        <v>20000</v>
      </c>
      <c r="L52" s="132">
        <f t="shared" si="4"/>
        <v>49421.600000000006</v>
      </c>
      <c r="M52" s="140">
        <f t="shared" si="5"/>
        <v>68264.800000000017</v>
      </c>
    </row>
    <row r="53" spans="1:13">
      <c r="A53">
        <v>7</v>
      </c>
      <c r="B53" s="62">
        <f t="shared" si="2"/>
        <v>63.55</v>
      </c>
      <c r="C53" s="62">
        <f t="shared" si="6"/>
        <v>330.05</v>
      </c>
      <c r="D53" s="62">
        <f>Table11[[#This Row],[Base ativa]]*4%</f>
        <v>13.202</v>
      </c>
      <c r="E53" s="132">
        <f>((Table11[[#This Row],[Base ativa]]-Table11[[#This Row],[Churn (4%)]])*20%)*($E$43)</f>
        <v>63369.600000000006</v>
      </c>
      <c r="F53" s="132">
        <f>((Table11[[#This Row],[Base ativa]]-Table11[[#This Row],[Churn (4%)]])*40%)*($F$43)</f>
        <v>63369.600000000006</v>
      </c>
      <c r="G53" s="132">
        <f>((Table11[[#This Row],[Base ativa]]-Table11[[#This Row],[Churn (4%)]])*40%)*($G$43)</f>
        <v>19010.88</v>
      </c>
      <c r="H53" s="132">
        <f>Table11[[#This Row],[Receita (Base ativa - Churn) × (1000) // 20%]]+Table11[[#This Row],[Receita (Base ativa - Churn) × (500) // 40%]]+Table11[[#This Row],[Receita (Base ativa - Churn) × (250) // 40%]]</f>
        <v>145750.08000000002</v>
      </c>
      <c r="I53" s="132">
        <f t="shared" si="3"/>
        <v>29150.016000000003</v>
      </c>
      <c r="J53" s="132">
        <f>Table11[[#This Row],[Receita Total]]*5%</f>
        <v>7287.5040000000008</v>
      </c>
      <c r="K53" s="132">
        <v>20000</v>
      </c>
      <c r="L53" s="132">
        <f t="shared" si="4"/>
        <v>56437.520000000004</v>
      </c>
      <c r="M53" s="140">
        <f t="shared" si="5"/>
        <v>89312.560000000012</v>
      </c>
    </row>
    <row r="54" spans="1:13">
      <c r="A54">
        <v>8</v>
      </c>
      <c r="B54" s="62">
        <f t="shared" si="2"/>
        <v>15.948999999999998</v>
      </c>
      <c r="C54" s="62">
        <f t="shared" si="6"/>
        <v>345.99900000000002</v>
      </c>
      <c r="D54" s="62">
        <f>Table11[[#This Row],[Base ativa]]*4%</f>
        <v>13.839960000000001</v>
      </c>
      <c r="E54" s="132">
        <f>((Table11[[#This Row],[Base ativa]]-Table11[[#This Row],[Churn (4%)]])*20%)*($E$43)</f>
        <v>66431.808000000005</v>
      </c>
      <c r="F54" s="132">
        <f>((Table11[[#This Row],[Base ativa]]-Table11[[#This Row],[Churn (4%)]])*40%)*($F$43)</f>
        <v>66431.808000000005</v>
      </c>
      <c r="G54" s="132">
        <f>((Table11[[#This Row],[Base ativa]]-Table11[[#This Row],[Churn (4%)]])*40%)*($G$43)</f>
        <v>19929.542400000002</v>
      </c>
      <c r="H54" s="132">
        <f>Table11[[#This Row],[Receita (Base ativa - Churn) × (1000) // 20%]]+Table11[[#This Row],[Receita (Base ativa - Churn) × (500) // 40%]]+Table11[[#This Row],[Receita (Base ativa - Churn) × (250) // 40%]]</f>
        <v>152793.15840000001</v>
      </c>
      <c r="I54" s="132">
        <f t="shared" si="3"/>
        <v>30558.631680000006</v>
      </c>
      <c r="J54" s="132">
        <f>Table11[[#This Row],[Receita Total]]*5%</f>
        <v>7639.6579200000015</v>
      </c>
      <c r="K54" s="132">
        <v>20000</v>
      </c>
      <c r="L54" s="132">
        <f t="shared" si="4"/>
        <v>58198.289600000004</v>
      </c>
      <c r="M54" s="140">
        <f t="shared" si="5"/>
        <v>94594.868800000011</v>
      </c>
    </row>
    <row r="55" spans="1:13">
      <c r="A55">
        <v>9</v>
      </c>
      <c r="B55" s="62">
        <f t="shared" si="2"/>
        <v>15.948999999999998</v>
      </c>
      <c r="C55" s="62">
        <f t="shared" si="6"/>
        <v>361.94800000000004</v>
      </c>
      <c r="D55" s="62">
        <f>Table11[[#This Row],[Base ativa]]*4%</f>
        <v>14.477920000000001</v>
      </c>
      <c r="E55" s="132">
        <f>((Table11[[#This Row],[Base ativa]]-Table11[[#This Row],[Churn (4%)]])*20%)*($E$43)</f>
        <v>69494.016000000018</v>
      </c>
      <c r="F55" s="132">
        <f>((Table11[[#This Row],[Base ativa]]-Table11[[#This Row],[Churn (4%)]])*40%)*($F$43)</f>
        <v>69494.016000000018</v>
      </c>
      <c r="G55" s="132">
        <f>((Table11[[#This Row],[Base ativa]]-Table11[[#This Row],[Churn (4%)]])*40%)*($G$43)</f>
        <v>20848.204800000003</v>
      </c>
      <c r="H55" s="132">
        <f>Table11[[#This Row],[Receita (Base ativa - Churn) × (1000) // 20%]]+Table11[[#This Row],[Receita (Base ativa - Churn) × (500) // 40%]]+Table11[[#This Row],[Receita (Base ativa - Churn) × (250) // 40%]]</f>
        <v>159836.23680000004</v>
      </c>
      <c r="I55" s="132">
        <f t="shared" si="3"/>
        <v>31967.247360000008</v>
      </c>
      <c r="J55" s="132">
        <f>Table11[[#This Row],[Receita Total]]*5%</f>
        <v>7991.8118400000021</v>
      </c>
      <c r="K55" s="132">
        <v>20000</v>
      </c>
      <c r="L55" s="132">
        <f t="shared" si="4"/>
        <v>59959.059200000011</v>
      </c>
      <c r="M55" s="140">
        <f t="shared" si="5"/>
        <v>99877.177600000025</v>
      </c>
    </row>
    <row r="56" spans="1:13">
      <c r="A56">
        <v>10</v>
      </c>
      <c r="B56" s="62">
        <f t="shared" si="2"/>
        <v>15.948999999999998</v>
      </c>
      <c r="C56" s="62">
        <f t="shared" si="6"/>
        <v>377.89700000000005</v>
      </c>
      <c r="D56" s="62">
        <f>Table11[[#This Row],[Base ativa]]*4%</f>
        <v>15.115880000000002</v>
      </c>
      <c r="E56" s="132">
        <f>((Table11[[#This Row],[Base ativa]]-Table11[[#This Row],[Churn (4%)]])*20%)*($E$43)</f>
        <v>72556.224000000017</v>
      </c>
      <c r="F56" s="132">
        <f>((Table11[[#This Row],[Base ativa]]-Table11[[#This Row],[Churn (4%)]])*40%)*($F$43)</f>
        <v>72556.224000000017</v>
      </c>
      <c r="G56" s="132">
        <f>((Table11[[#This Row],[Base ativa]]-Table11[[#This Row],[Churn (4%)]])*40%)*($G$43)</f>
        <v>21766.867200000004</v>
      </c>
      <c r="H56" s="132">
        <f>Table11[[#This Row],[Receita (Base ativa - Churn) × (1000) // 20%]]+Table11[[#This Row],[Receita (Base ativa - Churn) × (500) // 40%]]+Table11[[#This Row],[Receita (Base ativa - Churn) × (250) // 40%]]</f>
        <v>166879.31520000004</v>
      </c>
      <c r="I56" s="132">
        <f t="shared" si="3"/>
        <v>33375.863040000011</v>
      </c>
      <c r="J56" s="132">
        <f>Table11[[#This Row],[Receita Total]]*5%</f>
        <v>8343.9657600000028</v>
      </c>
      <c r="K56" s="132">
        <v>20000</v>
      </c>
      <c r="L56" s="132">
        <f t="shared" si="4"/>
        <v>61719.828800000018</v>
      </c>
      <c r="M56" s="140">
        <f t="shared" si="5"/>
        <v>105159.48640000002</v>
      </c>
    </row>
    <row r="57" spans="1:13">
      <c r="A57">
        <v>11</v>
      </c>
      <c r="B57" s="62">
        <f t="shared" si="2"/>
        <v>15.948999999999998</v>
      </c>
      <c r="C57" s="62">
        <f t="shared" si="6"/>
        <v>393.84600000000006</v>
      </c>
      <c r="D57" s="62">
        <f>Table11[[#This Row],[Base ativa]]*4%</f>
        <v>15.753840000000002</v>
      </c>
      <c r="E57" s="132">
        <f>((Table11[[#This Row],[Base ativa]]-Table11[[#This Row],[Churn (4%)]])*20%)*($E$43)</f>
        <v>75618.432000000015</v>
      </c>
      <c r="F57" s="132">
        <f>((Table11[[#This Row],[Base ativa]]-Table11[[#This Row],[Churn (4%)]])*40%)*($F$43)</f>
        <v>75618.432000000015</v>
      </c>
      <c r="G57" s="132">
        <f>((Table11[[#This Row],[Base ativa]]-Table11[[#This Row],[Churn (4%)]])*40%)*($G$43)</f>
        <v>22685.529600000005</v>
      </c>
      <c r="H57" s="132">
        <f>Table11[[#This Row],[Receita (Base ativa - Churn) × (1000) // 20%]]+Table11[[#This Row],[Receita (Base ativa - Churn) × (500) // 40%]]+Table11[[#This Row],[Receita (Base ativa - Churn) × (250) // 40%]]</f>
        <v>173922.39360000004</v>
      </c>
      <c r="I57" s="132">
        <f t="shared" si="3"/>
        <v>34784.478720000006</v>
      </c>
      <c r="J57" s="132">
        <f>Table11[[#This Row],[Receita Total]]*5%</f>
        <v>8696.1196800000016</v>
      </c>
      <c r="K57" s="132">
        <v>20000</v>
      </c>
      <c r="L57" s="132">
        <f t="shared" si="4"/>
        <v>63480.59840000001</v>
      </c>
      <c r="M57" s="140">
        <f t="shared" si="5"/>
        <v>110441.79520000002</v>
      </c>
    </row>
    <row r="58" spans="1:13">
      <c r="A58">
        <v>12</v>
      </c>
      <c r="B58" s="62">
        <f t="shared" si="2"/>
        <v>15.948999999999998</v>
      </c>
      <c r="C58" s="62">
        <f t="shared" si="6"/>
        <v>409.79500000000007</v>
      </c>
      <c r="D58" s="62">
        <f>Table11[[#This Row],[Base ativa]]*4%</f>
        <v>16.391800000000003</v>
      </c>
      <c r="E58" s="132">
        <f>((Table11[[#This Row],[Base ativa]]-Table11[[#This Row],[Churn (4%)]])*20%)*($E$43)</f>
        <v>78680.640000000029</v>
      </c>
      <c r="F58" s="132">
        <f>((Table11[[#This Row],[Base ativa]]-Table11[[#This Row],[Churn (4%)]])*40%)*($F$43)</f>
        <v>78680.640000000029</v>
      </c>
      <c r="G58" s="132">
        <f>((Table11[[#This Row],[Base ativa]]-Table11[[#This Row],[Churn (4%)]])*40%)*($G$43)</f>
        <v>23604.192000000006</v>
      </c>
      <c r="H58" s="132">
        <f>Table11[[#This Row],[Receita (Base ativa - Churn) × (1000) // 20%]]+Table11[[#This Row],[Receita (Base ativa - Churn) × (500) // 40%]]+Table11[[#This Row],[Receita (Base ativa - Churn) × (250) // 40%]]</f>
        <v>180965.47200000007</v>
      </c>
      <c r="I58" s="132">
        <f t="shared" si="3"/>
        <v>36193.094400000016</v>
      </c>
      <c r="J58" s="132">
        <f>Table11[[#This Row],[Receita Total]]*5%</f>
        <v>9048.2736000000041</v>
      </c>
      <c r="K58" s="132">
        <v>20000</v>
      </c>
      <c r="L58" s="132">
        <f t="shared" si="4"/>
        <v>65241.368000000017</v>
      </c>
      <c r="M58" s="140">
        <f t="shared" si="5"/>
        <v>115724.10400000005</v>
      </c>
    </row>
    <row r="59" spans="1:13">
      <c r="D59" s="62">
        <f>Table11[[#This Row],[Base ativa]]*4%</f>
        <v>0</v>
      </c>
      <c r="E59" s="140">
        <f>SUM(E47:E58)</f>
        <v>571782.72000000009</v>
      </c>
      <c r="F59" s="140">
        <f>SUM(F47:F58)</f>
        <v>571782.72000000009</v>
      </c>
      <c r="G59" s="140">
        <f>SUM(G47:G58)</f>
        <v>171534.81600000002</v>
      </c>
      <c r="H59" s="140">
        <f>Table11[[#This Row],[Receita (Base ativa - Churn) × (1000) // 20%]]+Table11[[#This Row],[Receita (Base ativa - Churn) × (500) // 40%]]+Table11[[#This Row],[Receita (Base ativa - Churn) × (250) // 40%]]</f>
        <v>1315100.2560000003</v>
      </c>
      <c r="K59">
        <f>SUBTOTAL(109,K47:K58)</f>
        <v>240000</v>
      </c>
      <c r="L59" s="132">
        <f>SUM(L47:L58)</f>
        <v>568775.06400000013</v>
      </c>
      <c r="M59" s="144">
        <f>SUM(M47:M58)</f>
        <v>746325.19200000016</v>
      </c>
    </row>
    <row r="60" spans="1:13">
      <c r="B60" s="62"/>
      <c r="C60" s="62"/>
      <c r="D60" s="62"/>
      <c r="E60" s="132"/>
      <c r="F60" s="132"/>
      <c r="G60" s="132"/>
      <c r="H60" s="132"/>
      <c r="I60" s="132"/>
      <c r="J60" s="132"/>
      <c r="K60" s="132"/>
      <c r="L60" s="88">
        <f>L59/M59</f>
        <v>0.76210085107243708</v>
      </c>
      <c r="M60" s="140"/>
    </row>
    <row r="68" spans="5:5">
      <c r="E68" s="93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AA40-DB56-DB4C-B693-20FD163050E0}">
  <sheetPr>
    <tabColor theme="6"/>
  </sheetPr>
  <dimension ref="A1:AJ90"/>
  <sheetViews>
    <sheetView topLeftCell="A60" zoomScale="130" zoomScaleNormal="130" workbookViewId="0">
      <pane xSplit="1" topLeftCell="V42" activePane="topRight" state="frozen"/>
      <selection pane="topRight" activeCell="AD66" sqref="AD66"/>
      <selection activeCell="A47" sqref="A47"/>
    </sheetView>
  </sheetViews>
  <sheetFormatPr defaultColWidth="8.85546875" defaultRowHeight="15"/>
  <cols>
    <col min="1" max="1" width="9.42578125" bestFit="1" customWidth="1"/>
    <col min="2" max="2" width="26.28515625" bestFit="1" customWidth="1"/>
    <col min="3" max="3" width="17.7109375" bestFit="1" customWidth="1"/>
    <col min="4" max="4" width="20" customWidth="1"/>
    <col min="5" max="5" width="17.42578125" customWidth="1"/>
    <col min="6" max="6" width="17.7109375" style="88" bestFit="1" customWidth="1"/>
    <col min="7" max="7" width="15" bestFit="1" customWidth="1"/>
    <col min="8" max="8" width="18.42578125" bestFit="1" customWidth="1"/>
    <col min="9" max="9" width="17.28515625" bestFit="1" customWidth="1"/>
    <col min="10" max="10" width="16.140625" customWidth="1"/>
    <col min="11" max="11" width="16.85546875" bestFit="1" customWidth="1"/>
    <col min="12" max="12" width="17" bestFit="1" customWidth="1"/>
    <col min="13" max="13" width="13.42578125" bestFit="1" customWidth="1"/>
    <col min="14" max="14" width="17" bestFit="1" customWidth="1"/>
    <col min="15" max="15" width="16" bestFit="1" customWidth="1"/>
    <col min="16" max="16" width="17.85546875" customWidth="1"/>
    <col min="17" max="17" width="27.7109375" customWidth="1"/>
    <col min="18" max="18" width="17.140625" customWidth="1"/>
    <col min="19" max="19" width="16.140625" bestFit="1" customWidth="1"/>
    <col min="20" max="20" width="18" bestFit="1" customWidth="1"/>
    <col min="21" max="21" width="16" bestFit="1" customWidth="1"/>
    <col min="22" max="22" width="18.7109375" customWidth="1"/>
    <col min="23" max="23" width="23.140625" customWidth="1"/>
    <col min="24" max="24" width="19.85546875" bestFit="1" customWidth="1"/>
    <col min="25" max="25" width="17.140625" bestFit="1" customWidth="1"/>
    <col min="26" max="26" width="22.42578125" customWidth="1"/>
    <col min="27" max="27" width="17.28515625" bestFit="1" customWidth="1"/>
    <col min="28" max="28" width="18" customWidth="1"/>
    <col min="29" max="29" width="17.28515625" bestFit="1" customWidth="1"/>
    <col min="30" max="30" width="19.85546875" bestFit="1" customWidth="1"/>
    <col min="31" max="31" width="21" bestFit="1" customWidth="1"/>
    <col min="32" max="32" width="25.42578125" bestFit="1" customWidth="1"/>
    <col min="33" max="33" width="17.28515625" bestFit="1" customWidth="1"/>
    <col min="34" max="34" width="16.28515625" bestFit="1" customWidth="1"/>
    <col min="35" max="35" width="8.85546875" bestFit="1" customWidth="1"/>
    <col min="36" max="36" width="18" bestFit="1" customWidth="1"/>
    <col min="37" max="37" width="22.7109375" customWidth="1"/>
    <col min="38" max="38" width="8.85546875" bestFit="1" customWidth="1"/>
    <col min="39" max="39" width="13.140625" customWidth="1"/>
    <col min="40" max="40" width="14.42578125" customWidth="1"/>
  </cols>
  <sheetData>
    <row r="1" spans="1:34">
      <c r="C1" s="185" t="s">
        <v>213</v>
      </c>
      <c r="D1" s="185"/>
      <c r="E1" s="186" t="s">
        <v>214</v>
      </c>
      <c r="F1" s="186"/>
      <c r="G1" s="187" t="s">
        <v>215</v>
      </c>
      <c r="H1" s="187"/>
      <c r="I1" s="186" t="s">
        <v>216</v>
      </c>
      <c r="J1" s="186"/>
      <c r="K1" s="186"/>
      <c r="L1" s="186"/>
      <c r="M1" s="186"/>
      <c r="N1" s="188" t="s">
        <v>217</v>
      </c>
      <c r="O1" s="188"/>
      <c r="P1" s="188"/>
      <c r="Q1" s="188"/>
      <c r="X1" s="184" t="s">
        <v>218</v>
      </c>
      <c r="Y1" s="184"/>
      <c r="Z1" s="184"/>
      <c r="AA1" s="184"/>
      <c r="AB1" s="184"/>
      <c r="AC1" s="184"/>
      <c r="AD1" s="184"/>
    </row>
    <row r="2" spans="1:34" s="59" customFormat="1" ht="54" customHeight="1">
      <c r="A2" s="54" t="s">
        <v>219</v>
      </c>
      <c r="B2" s="54" t="s">
        <v>220</v>
      </c>
      <c r="C2" s="55" t="s">
        <v>221</v>
      </c>
      <c r="D2" s="55" t="s">
        <v>222</v>
      </c>
      <c r="E2" s="56" t="s">
        <v>223</v>
      </c>
      <c r="F2" s="56" t="s">
        <v>224</v>
      </c>
      <c r="G2" s="57" t="s">
        <v>225</v>
      </c>
      <c r="H2" s="57" t="s">
        <v>226</v>
      </c>
      <c r="I2" s="56" t="s">
        <v>227</v>
      </c>
      <c r="J2" s="56" t="s">
        <v>228</v>
      </c>
      <c r="K2" s="56" t="s">
        <v>229</v>
      </c>
      <c r="L2" s="56" t="s">
        <v>230</v>
      </c>
      <c r="M2" s="56" t="s">
        <v>231</v>
      </c>
      <c r="N2" s="54" t="s">
        <v>232</v>
      </c>
      <c r="O2" s="54" t="s">
        <v>233</v>
      </c>
      <c r="P2" s="54" t="s">
        <v>234</v>
      </c>
      <c r="Q2" s="54" t="s">
        <v>235</v>
      </c>
      <c r="R2" s="54" t="s">
        <v>236</v>
      </c>
      <c r="S2" s="54" t="s">
        <v>237</v>
      </c>
      <c r="T2" s="54" t="s">
        <v>238</v>
      </c>
      <c r="U2" s="54" t="s">
        <v>239</v>
      </c>
      <c r="V2" s="54" t="s">
        <v>240</v>
      </c>
      <c r="W2" s="54" t="s">
        <v>324</v>
      </c>
      <c r="X2" s="55" t="s">
        <v>242</v>
      </c>
      <c r="Y2" s="55" t="s">
        <v>243</v>
      </c>
      <c r="Z2" s="55" t="s">
        <v>244</v>
      </c>
      <c r="AA2" s="55" t="s">
        <v>245</v>
      </c>
      <c r="AB2" s="55" t="s">
        <v>246</v>
      </c>
      <c r="AC2" s="55" t="s">
        <v>325</v>
      </c>
      <c r="AD2" s="55" t="s">
        <v>248</v>
      </c>
      <c r="AE2" s="58" t="s">
        <v>249</v>
      </c>
      <c r="AF2" s="58" t="s">
        <v>250</v>
      </c>
      <c r="AG2" s="54" t="s">
        <v>251</v>
      </c>
      <c r="AH2" s="54" t="s">
        <v>252</v>
      </c>
    </row>
    <row r="3" spans="1:34">
      <c r="A3" s="60">
        <v>45992</v>
      </c>
      <c r="B3" s="61">
        <f>B64*0.05</f>
        <v>1566.913</v>
      </c>
      <c r="C3" s="61">
        <f>C64</f>
        <v>12</v>
      </c>
      <c r="D3" s="62">
        <f>Table153[[#This Row],[Investimento no Mês
 (Growth) // 5%]]/Table153[[#This Row],[CPL - Tráfego
(cadastro)]]</f>
        <v>130.57608333333334</v>
      </c>
      <c r="E3" s="63">
        <f t="shared" ref="E3:E16" si="0">E64</f>
        <v>0.06</v>
      </c>
      <c r="F3" s="64">
        <f>Table153[[#This Row],[Novos Cadastros 
LP]]*Table153[[#This Row],[Tx. % Install]]</f>
        <v>7.8345650000000004</v>
      </c>
      <c r="G3" s="63">
        <f t="shared" ref="G3:G19" si="1">G64</f>
        <v>0</v>
      </c>
      <c r="H3" s="64">
        <f>Table153[[#This Row],[Novos Installs no App]]*Table153[[#This Row],[Tx % Ativações]]</f>
        <v>0</v>
      </c>
      <c r="I3" s="63">
        <f t="shared" ref="I3:I19" si="2">I64</f>
        <v>0.7</v>
      </c>
      <c r="J3" s="64">
        <f>J64*20%</f>
        <v>0</v>
      </c>
      <c r="K3" s="63">
        <f>K64</f>
        <v>0</v>
      </c>
      <c r="L3" s="62">
        <f>(Table153[[#This Row],[Novos Personais Habilitados]]*Table153[[#This Row],[Tx % de Conversão]])+(Table153[[#This Row],[Cadastros Evento Presencial]]*Table153[[#This Row],[Tx % Ativação Presencial]])</f>
        <v>0</v>
      </c>
      <c r="M3" s="62">
        <f>Table153[[#This Row],[Novos Personais Ativados]]</f>
        <v>0</v>
      </c>
      <c r="N3" s="65" t="e">
        <f>Table153[[#This Row],[Investimento no Mês
 (Growth) // 5%]]/Table153[[#This Row],[Novos Personais Ativados]]</f>
        <v>#DIV/0!</v>
      </c>
      <c r="O3" s="66">
        <v>0</v>
      </c>
      <c r="P3" s="67">
        <f>Table153[[#This Row],[Personais 
Totais]]*Table153[[#This Row],[Tx. % Churn]]</f>
        <v>0</v>
      </c>
      <c r="Q3" s="62">
        <f>Table153[[#This Row],[Personais 
Totais]]-Table153[[#This Row],[Qtde. Churn 
no Mês]]</f>
        <v>0</v>
      </c>
      <c r="R3" s="68">
        <v>15</v>
      </c>
      <c r="S3" s="69">
        <v>0</v>
      </c>
      <c r="T3" s="70">
        <v>0</v>
      </c>
      <c r="U3" s="62">
        <f>Table153[[#This Row],[Personais 
Ativos Mês]]+(Table153[[#This Row],[Personais 
Ativos Mês]]*Table153[[#This Row],[Média Alunos Estimada 
Total Personal]])</f>
        <v>0</v>
      </c>
      <c r="V3" s="71">
        <v>0</v>
      </c>
      <c r="W3" s="71">
        <v>0</v>
      </c>
      <c r="X3" s="72">
        <f>Table153[[#This Row],[Média Alunos Estimada 
Total Personal]]-(Table153[[#This Row],[Tx. % Real Alunos 
não ativados]]*Table153[[#This Row],[Média Alunos Estimada 
Total Personal]])</f>
        <v>9.75</v>
      </c>
      <c r="Y3" s="66">
        <v>0.35</v>
      </c>
      <c r="Z3" s="14" t="e">
        <f>AB3/Q3</f>
        <v>#DIV/0!</v>
      </c>
      <c r="AA3" s="62">
        <f>Table153[[#This Row],[Média Real Alunos 
Ativos Personal]]*Table153[[#This Row],[Personais 
Ativos Mês]]</f>
        <v>0</v>
      </c>
      <c r="AB3" s="14">
        <v>0</v>
      </c>
      <c r="AC3" s="14">
        <v>0</v>
      </c>
      <c r="AD3" s="14">
        <f>Table153[[#This Row],[Faturamento 
Real Bruto]]</f>
        <v>0</v>
      </c>
      <c r="AE3" s="14">
        <v>0</v>
      </c>
      <c r="AF3" s="14">
        <f>Table153[[#This Row],[Investimento no Mês
 (Growth) // 5%]]</f>
        <v>1566.913</v>
      </c>
      <c r="AG3" s="73">
        <v>0</v>
      </c>
      <c r="AH3" s="74">
        <v>0</v>
      </c>
    </row>
    <row r="4" spans="1:34">
      <c r="A4" s="60">
        <v>46023</v>
      </c>
      <c r="B4" s="61">
        <f t="shared" ref="B4:B16" si="3">B65*0.05</f>
        <v>264.62849999999997</v>
      </c>
      <c r="C4" s="61">
        <f t="shared" ref="C4:C16" si="4">C65</f>
        <v>14</v>
      </c>
      <c r="D4" s="75">
        <v>1031</v>
      </c>
      <c r="E4" s="63">
        <f t="shared" si="0"/>
        <v>0.2</v>
      </c>
      <c r="F4" s="64">
        <f>Table153[[#This Row],[Novos Cadastros 
LP]]*Table153[[#This Row],[Tx. % Install]]</f>
        <v>206.20000000000002</v>
      </c>
      <c r="G4" s="63">
        <f t="shared" si="1"/>
        <v>0.5</v>
      </c>
      <c r="H4" s="64">
        <f>Table153[[#This Row],[Novos Installs no App]]*Table153[[#This Row],[Tx % Ativações]]</f>
        <v>103.10000000000001</v>
      </c>
      <c r="I4" s="63">
        <f t="shared" si="2"/>
        <v>0.3</v>
      </c>
      <c r="J4" s="64">
        <f t="shared" ref="J4:J16" si="5">J65*20%</f>
        <v>0</v>
      </c>
      <c r="K4" s="63">
        <f t="shared" ref="K4:K16" si="6">K65</f>
        <v>0</v>
      </c>
      <c r="L4" s="62">
        <f>(Table153[[#This Row],[Novos Personais Habilitados]]*Table153[[#This Row],[Tx % de Conversão]])+(Table153[[#This Row],[Cadastros Evento Presencial]]*Table153[[#This Row],[Tx % Ativação Presencial]])</f>
        <v>30.93</v>
      </c>
      <c r="M4" s="62">
        <f>Table153[[#This Row],[Novos Personais Ativados]]+M3</f>
        <v>30.93</v>
      </c>
      <c r="N4" s="65">
        <f>Table153[[#This Row],[Investimento no Mês
 (Growth) // 5%]]/Table153[[#This Row],[Novos Personais Ativados]]</f>
        <v>8.5557225994180399</v>
      </c>
      <c r="O4" s="66">
        <v>0.02</v>
      </c>
      <c r="P4" s="67">
        <f>M3*Table153[[#This Row],[Tx. % Churn]]</f>
        <v>0</v>
      </c>
      <c r="Q4" s="62">
        <f>Table153[[#This Row],[Personais 
Totais]]-Table153[[#This Row],[Qtde. Churn 
no Mês]]</f>
        <v>30.93</v>
      </c>
      <c r="R4" s="68">
        <v>15</v>
      </c>
      <c r="S4" s="61">
        <v>250</v>
      </c>
      <c r="T4" s="76">
        <f>Table153[[#This Row],[Média Alunos Estimada 
Total Personal]]*Table153[[#This Row],[Ticket Médio Aluno Personal]]</f>
        <v>3750</v>
      </c>
      <c r="U4" s="62">
        <f>Table153[[#This Row],[Personais 
Ativos Mês]]+(Table153[[#This Row],[Personais 
Ativos Mês]]*Table153[[#This Row],[Média Alunos Estimada 
Total Personal]])</f>
        <v>494.88</v>
      </c>
      <c r="V4" s="77">
        <f>Table153[[#This Row],[Média Faturamento
Estimada Personal]]*Q3</f>
        <v>0</v>
      </c>
      <c r="W4" s="77">
        <f>IF(Q4&lt;=1000, V4*5%, (T4*1000*5%) + ((Q4-1000)*T4*7.5%))</f>
        <v>0</v>
      </c>
      <c r="X4" s="72">
        <f>Table153[[#This Row],[Média Alunos Estimada 
Total Personal]]-(Table153[[#This Row],[Tx. % Real Alunos 
não ativados]]*Table153[[#This Row],[Média Alunos Estimada 
Total Personal]])</f>
        <v>4.5</v>
      </c>
      <c r="Y4" s="66">
        <v>0.7</v>
      </c>
      <c r="Z4" s="14">
        <f>Table153[[#This Row],[Ticket Médio Aluno Personal]]*Table153[[#This Row],[Média Real Alunos 
Ativos Personal]]</f>
        <v>1125</v>
      </c>
      <c r="AA4" s="62">
        <f>Table153[[#This Row],[Média Real Alunos 
Ativos Personal]]*Table153[[#This Row],[Personais 
Ativos Mês]]</f>
        <v>139.185</v>
      </c>
      <c r="AB4" s="14">
        <f>Table153[[#This Row],[Média Real por Personal]]*Q3</f>
        <v>0</v>
      </c>
      <c r="AC4" s="14">
        <f>IF(Q4&lt;=1000, AB4*5%, (Z4*1000*5%) + ((Q4-1000)*Z4*7.5%))</f>
        <v>0</v>
      </c>
      <c r="AD4" s="14">
        <f>Table153[[#This Row],[Faturamento 
Real Bruto]]+AB3</f>
        <v>0</v>
      </c>
      <c r="AE4" s="14">
        <f>Table153[[#This Row],[Receita MUVX 
(7,5% &gt;= 1000 Personais)]]+AC3</f>
        <v>0</v>
      </c>
      <c r="AF4" s="14">
        <f>Table153[[#This Row],[Investimento no Mês
 (Growth) // 5%]]+AF3</f>
        <v>1831.5415</v>
      </c>
      <c r="AG4" s="73">
        <f>Table153[[#This Row],[Receita MUVX Acumulada]]/Table153[[#This Row],[Investimento Acumulado]]</f>
        <v>0</v>
      </c>
      <c r="AH4" s="73">
        <f>Table153[[#This Row],[ROI]]+AH3</f>
        <v>0</v>
      </c>
    </row>
    <row r="5" spans="1:34">
      <c r="A5" s="60">
        <v>46054</v>
      </c>
      <c r="B5" s="61">
        <f t="shared" si="3"/>
        <v>50</v>
      </c>
      <c r="C5" s="61">
        <f t="shared" si="4"/>
        <v>13.86</v>
      </c>
      <c r="D5" s="62">
        <f>Table153[[#This Row],[Investimento no Mês
 (Growth) // 5%]]/Table153[[#This Row],[CPL - Tráfego
(cadastro)]]</f>
        <v>3.6075036075036078</v>
      </c>
      <c r="E5" s="63">
        <f t="shared" si="0"/>
        <v>0.2</v>
      </c>
      <c r="F5" s="64">
        <f>Table153[[#This Row],[Novos Cadastros 
LP]]*Table153[[#This Row],[Tx. % Install]]</f>
        <v>0.72150072150072164</v>
      </c>
      <c r="G5" s="63">
        <f t="shared" si="1"/>
        <v>0.5</v>
      </c>
      <c r="H5" s="64">
        <f>Table153[[#This Row],[Novos Installs no App]]*Table153[[#This Row],[Tx % Ativações]]</f>
        <v>0.36075036075036082</v>
      </c>
      <c r="I5" s="63">
        <f t="shared" si="2"/>
        <v>0.3</v>
      </c>
      <c r="J5" s="64">
        <f t="shared" si="5"/>
        <v>0</v>
      </c>
      <c r="K5" s="63">
        <f t="shared" si="6"/>
        <v>0</v>
      </c>
      <c r="L5" s="62">
        <f>(Table153[[#This Row],[Novos Personais Habilitados]]*Table153[[#This Row],[Tx % de Conversão]])+(Table153[[#This Row],[Cadastros Evento Presencial]]*Table153[[#This Row],[Tx % Ativação Presencial]])</f>
        <v>0.10822510822510824</v>
      </c>
      <c r="M5" s="62">
        <f>Table153[[#This Row],[Novos Personais Ativados]]+M4</f>
        <v>31.038225108225109</v>
      </c>
      <c r="N5" s="65">
        <f>Table153[[#This Row],[Investimento no Mês
 (Growth) // 5%]]/Table153[[#This Row],[Novos Personais Ativados]]</f>
        <v>461.99999999999994</v>
      </c>
      <c r="O5" s="66">
        <v>0.03</v>
      </c>
      <c r="P5" s="67">
        <f>M4*Table153[[#This Row],[Tx. % Churn]]</f>
        <v>0.92789999999999995</v>
      </c>
      <c r="Q5" s="62">
        <f>Table153[[#This Row],[Personais 
Totais]]-Table153[[#This Row],[Qtde. Churn 
no Mês]]</f>
        <v>30.110325108225108</v>
      </c>
      <c r="R5" s="68">
        <v>15</v>
      </c>
      <c r="S5" s="61">
        <f>S4*1.005</f>
        <v>251.24999999999997</v>
      </c>
      <c r="T5" s="76">
        <f>Table153[[#This Row],[Média Alunos Estimada 
Total Personal]]*Table153[[#This Row],[Ticket Médio Aluno Personal]]</f>
        <v>3768.7499999999995</v>
      </c>
      <c r="U5" s="62">
        <f>Table153[[#This Row],[Personais 
Ativos Mês]]+(Table153[[#This Row],[Personais 
Ativos Mês]]*Table153[[#This Row],[Média Alunos Estimada 
Total Personal]])</f>
        <v>481.76520173160173</v>
      </c>
      <c r="V5" s="77">
        <f>Table153[[#This Row],[Média Faturamento
Estimada Personal]]*Q4</f>
        <v>116567.43749999999</v>
      </c>
      <c r="W5" s="77">
        <f t="shared" ref="W5:W16" si="7">IF(Q5&lt;=1000, V5*5%, (T5*1000*5%) + ((Q5-1000)*T5*7.5%))</f>
        <v>5828.3718749999998</v>
      </c>
      <c r="X5" s="72">
        <f>Table153[[#This Row],[Média Alunos Estimada 
Total Personal]]-(Table153[[#This Row],[Tx. % Real Alunos 
não ativados]]*Table153[[#This Row],[Média Alunos Estimada 
Total Personal]])</f>
        <v>12.75</v>
      </c>
      <c r="Y5" s="66">
        <v>0.15</v>
      </c>
      <c r="Z5" s="14">
        <f>Table153[[#This Row],[Ticket Médio Aluno Personal]]*Table153[[#This Row],[Média Real Alunos 
Ativos Personal]]</f>
        <v>3203.4374999999995</v>
      </c>
      <c r="AA5" s="62">
        <f>Table153[[#This Row],[Média Real Alunos 
Ativos Personal]]*Table153[[#This Row],[Personais 
Ativos Mês]]</f>
        <v>383.90664512987013</v>
      </c>
      <c r="AB5" s="14">
        <f>Table153[[#This Row],[Média Real por Personal]]*Q4</f>
        <v>99082.32187499998</v>
      </c>
      <c r="AC5" s="14">
        <f t="shared" ref="AC5:AC16" si="8">IF(Q5&lt;=1000, AB5*5%, (Z5*1000*5%) + ((Q5-1000)*Z5*7.5%))</f>
        <v>4954.116093749999</v>
      </c>
      <c r="AD5" s="14">
        <f>AD4+Table153[[#This Row],[Faturamento 
Real Bruto]]</f>
        <v>99082.32187499998</v>
      </c>
      <c r="AE5" s="14">
        <f>AE4+Table153[[#This Row],[Receita MUVX 
(7,5% &gt;= 1000 Personais)]]</f>
        <v>4954.116093749999</v>
      </c>
      <c r="AF5" s="14">
        <f>Table153[[#This Row],[Investimento no Mês
 (Growth) // 5%]]+AF4</f>
        <v>1881.5415</v>
      </c>
      <c r="AG5" s="73">
        <f>Table153[[#This Row],[Receita MUVX Acumulada]]/Table153[[#This Row],[Investimento Acumulado]]</f>
        <v>2.6330092074769538</v>
      </c>
      <c r="AH5" s="73">
        <f>Table153[[#This Row],[ROI]]+AH4</f>
        <v>2.6330092074769538</v>
      </c>
    </row>
    <row r="6" spans="1:34">
      <c r="A6" s="78">
        <v>46082</v>
      </c>
      <c r="B6" s="61">
        <f t="shared" si="3"/>
        <v>50</v>
      </c>
      <c r="C6" s="61">
        <f t="shared" si="4"/>
        <v>13.721399999999999</v>
      </c>
      <c r="D6" s="62">
        <f>Table153[[#This Row],[Investimento no Mês
 (Growth) // 5%]]/Table153[[#This Row],[CPL - Tráfego
(cadastro)]]</f>
        <v>3.643943037882432</v>
      </c>
      <c r="E6" s="63">
        <f t="shared" si="0"/>
        <v>0.2</v>
      </c>
      <c r="F6" s="64">
        <f>Table153[[#This Row],[Novos Cadastros 
LP]]*Table153[[#This Row],[Tx. % Install]]</f>
        <v>0.72878860757648645</v>
      </c>
      <c r="G6" s="63">
        <f t="shared" si="1"/>
        <v>0.5</v>
      </c>
      <c r="H6" s="64">
        <f>Table153[[#This Row],[Novos Installs no App]]*Table153[[#This Row],[Tx % Ativações]]</f>
        <v>0.36439430378824322</v>
      </c>
      <c r="I6" s="63">
        <f t="shared" si="2"/>
        <v>0.3</v>
      </c>
      <c r="J6" s="64">
        <f t="shared" si="5"/>
        <v>0</v>
      </c>
      <c r="K6" s="63">
        <f t="shared" si="6"/>
        <v>0</v>
      </c>
      <c r="L6" s="62">
        <f>(Table153[[#This Row],[Novos Personais Habilitados]]*Table153[[#This Row],[Tx % de Conversão]])+(Table153[[#This Row],[Cadastros Evento Presencial]]*Table153[[#This Row],[Tx % Ativação Presencial]])</f>
        <v>0.10931829113647297</v>
      </c>
      <c r="M6" s="62">
        <f>Table153[[#This Row],[Novos Personais Ativados]]+M5</f>
        <v>31.147543399361581</v>
      </c>
      <c r="N6" s="65">
        <f>Table153[[#This Row],[Investimento no Mês
 (Growth) // 5%]]/Table153[[#This Row],[Novos Personais Ativados]]</f>
        <v>457.37999999999994</v>
      </c>
      <c r="O6" s="66">
        <v>0.02</v>
      </c>
      <c r="P6" s="67">
        <f>M5*Table153[[#This Row],[Tx. % Churn]]</f>
        <v>0.62076450216450219</v>
      </c>
      <c r="Q6" s="62">
        <f>Table153[[#This Row],[Personais 
Totais]]-Table153[[#This Row],[Qtde. Churn 
no Mês]]</f>
        <v>30.526778897197079</v>
      </c>
      <c r="R6" s="68">
        <v>15</v>
      </c>
      <c r="S6" s="61">
        <f t="shared" ref="S6:S16" si="9">S5*1.015</f>
        <v>255.01874999999995</v>
      </c>
      <c r="T6" s="76">
        <f>Table153[[#This Row],[Média Alunos Estimada 
Total Personal]]*Table153[[#This Row],[Ticket Médio Aluno Personal]]</f>
        <v>3825.2812499999991</v>
      </c>
      <c r="U6" s="62">
        <f>Table153[[#This Row],[Personais 
Ativos Mês]]+(Table153[[#This Row],[Personais 
Ativos Mês]]*Table153[[#This Row],[Média Alunos Estimada 
Total Personal]])</f>
        <v>488.42846235515327</v>
      </c>
      <c r="V6" s="77">
        <f>Table153[[#This Row],[Média Faturamento
Estimada Personal]]*Q5</f>
        <v>115180.46206789769</v>
      </c>
      <c r="W6" s="77">
        <f t="shared" si="7"/>
        <v>5759.0231033948849</v>
      </c>
      <c r="X6" s="72">
        <f>Table153[[#This Row],[Média Alunos Estimada 
Total Personal]]-(Table153[[#This Row],[Tx. % Real Alunos 
não ativados]]*Table153[[#This Row],[Média Alunos Estimada 
Total Personal]])</f>
        <v>12.75</v>
      </c>
      <c r="Y6" s="66">
        <v>0.15</v>
      </c>
      <c r="Z6" s="14">
        <f>Table153[[#This Row],[Ticket Médio Aluno Personal]]*Table153[[#This Row],[Média Real Alunos 
Ativos Personal]]</f>
        <v>3251.4890624999994</v>
      </c>
      <c r="AA6" s="62">
        <f>Table153[[#This Row],[Média Real Alunos 
Ativos Personal]]*Table153[[#This Row],[Personais 
Ativos Mês]]</f>
        <v>389.21643093926275</v>
      </c>
      <c r="AB6" s="14">
        <f>Table153[[#This Row],[Média Real por Personal]]*Q5</f>
        <v>97903.392757713053</v>
      </c>
      <c r="AC6" s="14">
        <f t="shared" si="8"/>
        <v>4895.1696378856532</v>
      </c>
      <c r="AD6" s="14">
        <f>AD5+Table153[[#This Row],[Faturamento 
Real Bruto]]</f>
        <v>196985.71463271303</v>
      </c>
      <c r="AE6" s="14">
        <f>AE5+Table153[[#This Row],[Receita MUVX 
(7,5% &gt;= 1000 Personais)]]</f>
        <v>9849.2857316356531</v>
      </c>
      <c r="AF6" s="14">
        <f>Table153[[#This Row],[Investimento no Mês
 (Growth) // 5%]]+AF5</f>
        <v>1931.5415</v>
      </c>
      <c r="AG6" s="73">
        <f>Table153[[#This Row],[Receita MUVX Acumulada]]/Table153[[#This Row],[Investimento Acumulado]]</f>
        <v>5.0991841136396259</v>
      </c>
      <c r="AH6" s="73">
        <f>Table153[[#This Row],[ROI]]+AH5</f>
        <v>7.7321933211165792</v>
      </c>
    </row>
    <row r="7" spans="1:34">
      <c r="A7" s="60">
        <v>46113</v>
      </c>
      <c r="B7" s="61">
        <f t="shared" si="3"/>
        <v>250</v>
      </c>
      <c r="C7" s="61">
        <f t="shared" si="4"/>
        <v>13.584185999999999</v>
      </c>
      <c r="D7" s="62">
        <f>Table153[[#This Row],[Investimento no Mês
 (Growth) // 5%]]/Table153[[#This Row],[CPL - Tráfego
(cadastro)]]</f>
        <v>18.403752716577941</v>
      </c>
      <c r="E7" s="63">
        <f t="shared" si="0"/>
        <v>0.2</v>
      </c>
      <c r="F7" s="64">
        <f>Table153[[#This Row],[Novos Cadastros 
LP]]*Table153[[#This Row],[Tx. % Install]]</f>
        <v>3.6807505433155883</v>
      </c>
      <c r="G7" s="63">
        <f t="shared" si="1"/>
        <v>0.6</v>
      </c>
      <c r="H7" s="64">
        <f>Table153[[#This Row],[Novos Installs no App]]*Table153[[#This Row],[Tx % Ativações]]</f>
        <v>2.2084503259893529</v>
      </c>
      <c r="I7" s="63">
        <f t="shared" si="2"/>
        <v>0.3</v>
      </c>
      <c r="J7" s="64">
        <f t="shared" si="5"/>
        <v>0</v>
      </c>
      <c r="K7" s="63">
        <f t="shared" si="6"/>
        <v>0</v>
      </c>
      <c r="L7" s="62">
        <f>(Table153[[#This Row],[Novos Personais Habilitados]]*Table153[[#This Row],[Tx % de Conversão]])+(Table153[[#This Row],[Cadastros Evento Presencial]]*Table153[[#This Row],[Tx % Ativação Presencial]])</f>
        <v>0.66253509779680586</v>
      </c>
      <c r="M7" s="62">
        <f>Table153[[#This Row],[Novos Personais Ativados]]+M6</f>
        <v>31.810078497158386</v>
      </c>
      <c r="N7" s="65">
        <f>Table153[[#This Row],[Investimento no Mês
 (Growth) // 5%]]/Table153[[#This Row],[Novos Personais Ativados]]</f>
        <v>377.33849999999995</v>
      </c>
      <c r="O7" s="66">
        <v>0.02</v>
      </c>
      <c r="P7" s="67">
        <f>M6*Table153[[#This Row],[Tx. % Churn]]</f>
        <v>0.62295086798723165</v>
      </c>
      <c r="Q7" s="62">
        <f>Table153[[#This Row],[Personais 
Totais]]-Table153[[#This Row],[Qtde. Churn 
no Mês]]</f>
        <v>31.187127629171155</v>
      </c>
      <c r="R7" s="68">
        <v>15</v>
      </c>
      <c r="S7" s="61">
        <f t="shared" si="9"/>
        <v>258.84403124999994</v>
      </c>
      <c r="T7" s="76">
        <f>Table153[[#This Row],[Média Alunos Estimada 
Total Personal]]*Table153[[#This Row],[Ticket Médio Aluno Personal]]</f>
        <v>3882.6604687499994</v>
      </c>
      <c r="U7" s="62">
        <f>Table153[[#This Row],[Personais 
Ativos Mês]]+(Table153[[#This Row],[Personais 
Ativos Mês]]*Table153[[#This Row],[Média Alunos Estimada 
Total Personal]])</f>
        <v>498.99404206673847</v>
      </c>
      <c r="V7" s="77">
        <f>Table153[[#This Row],[Média Faturamento
Estimada Personal]]*Q6</f>
        <v>118525.11766241881</v>
      </c>
      <c r="W7" s="77">
        <f t="shared" si="7"/>
        <v>5926.2558831209408</v>
      </c>
      <c r="X7" s="72">
        <f>Table153[[#This Row],[Média Alunos Estimada 
Total Personal]]-(Table153[[#This Row],[Tx. % Real Alunos 
não ativados]]*Table153[[#This Row],[Média Alunos Estimada 
Total Personal]])</f>
        <v>12.75</v>
      </c>
      <c r="Y7" s="66">
        <v>0.15</v>
      </c>
      <c r="Z7" s="14">
        <f>Table153[[#This Row],[Ticket Médio Aluno Personal]]*Table153[[#This Row],[Média Real Alunos 
Ativos Personal]]</f>
        <v>3300.2613984374993</v>
      </c>
      <c r="AA7" s="62">
        <f>Table153[[#This Row],[Média Real Alunos 
Ativos Personal]]*Table153[[#This Row],[Personais 
Ativos Mês]]</f>
        <v>397.6358772719322</v>
      </c>
      <c r="AB7" s="14">
        <f>Table153[[#This Row],[Média Real por Personal]]*Q6</f>
        <v>100746.35001305598</v>
      </c>
      <c r="AC7" s="14">
        <f t="shared" si="8"/>
        <v>5037.3175006527999</v>
      </c>
      <c r="AD7" s="14">
        <f>AD6+Table153[[#This Row],[Faturamento 
Real Bruto]]</f>
        <v>297732.06464576902</v>
      </c>
      <c r="AE7" s="14">
        <f>AE6+Table153[[#This Row],[Receita MUVX 
(7,5% &gt;= 1000 Personais)]]</f>
        <v>14886.603232288453</v>
      </c>
      <c r="AF7" s="14">
        <f>Table153[[#This Row],[Investimento no Mês
 (Growth) // 5%]]+AF6</f>
        <v>2181.5415000000003</v>
      </c>
      <c r="AG7" s="73">
        <f>Table153[[#This Row],[Receita MUVX Acumulada]]/Table153[[#This Row],[Investimento Acumulado]]</f>
        <v>6.8238918362490244</v>
      </c>
      <c r="AH7" s="73">
        <f>Table153[[#This Row],[ROI]]+AH6</f>
        <v>14.556085157365604</v>
      </c>
    </row>
    <row r="8" spans="1:34">
      <c r="A8" s="78">
        <v>46143</v>
      </c>
      <c r="B8" s="61">
        <f t="shared" si="3"/>
        <v>1500</v>
      </c>
      <c r="C8" s="61">
        <f t="shared" si="4"/>
        <v>13.44834414</v>
      </c>
      <c r="D8" s="62">
        <f>Table153[[#This Row],[Investimento no Mês
 (Growth) // 5%]]/Table153[[#This Row],[CPL - Tráfego
(cadastro)]]</f>
        <v>111.53789525198751</v>
      </c>
      <c r="E8" s="63">
        <v>0.3</v>
      </c>
      <c r="F8" s="64">
        <f>Table153[[#This Row],[Novos Cadastros 
LP]]*Table153[[#This Row],[Tx. % Install]]</f>
        <v>33.461368575596254</v>
      </c>
      <c r="G8" s="63">
        <f t="shared" si="1"/>
        <v>0.6</v>
      </c>
      <c r="H8" s="64">
        <f>Table153[[#This Row],[Novos Installs no App]]*Table153[[#This Row],[Tx % Ativações]]</f>
        <v>20.076821145357751</v>
      </c>
      <c r="I8" s="63">
        <f t="shared" si="2"/>
        <v>0.3</v>
      </c>
      <c r="J8" s="64">
        <f t="shared" si="5"/>
        <v>0</v>
      </c>
      <c r="K8" s="63">
        <f t="shared" si="6"/>
        <v>0</v>
      </c>
      <c r="L8" s="62">
        <f>(Table153[[#This Row],[Novos Personais Habilitados]]*Table153[[#This Row],[Tx % de Conversão]])+(Table153[[#This Row],[Cadastros Evento Presencial]]*Table153[[#This Row],[Tx % Ativação Presencial]])</f>
        <v>6.0230463436073256</v>
      </c>
      <c r="M8" s="62">
        <f>Table153[[#This Row],[Novos Personais Ativados]]+M7</f>
        <v>37.833124840765713</v>
      </c>
      <c r="N8" s="65">
        <f>Table153[[#This Row],[Investimento no Mês
 (Growth) // 5%]]/Table153[[#This Row],[Novos Personais Ativados]]</f>
        <v>249.04340999999999</v>
      </c>
      <c r="O8" s="66">
        <v>0.04</v>
      </c>
      <c r="P8" s="67">
        <f>M7*Table153[[#This Row],[Tx. % Churn]]</f>
        <v>1.2724031398863356</v>
      </c>
      <c r="Q8" s="62">
        <f>Table153[[#This Row],[Personais 
Totais]]-Table153[[#This Row],[Qtde. Churn 
no Mês]]</f>
        <v>36.560721700879377</v>
      </c>
      <c r="R8" s="68">
        <v>15</v>
      </c>
      <c r="S8" s="61">
        <f t="shared" si="9"/>
        <v>262.72669171874992</v>
      </c>
      <c r="T8" s="76">
        <f>Table153[[#This Row],[Média Alunos Estimada 
Total Personal]]*Table153[[#This Row],[Ticket Médio Aluno Personal]]</f>
        <v>3940.9003757812488</v>
      </c>
      <c r="U8" s="62">
        <f>Table153[[#This Row],[Personais 
Ativos Mês]]+(Table153[[#This Row],[Personais 
Ativos Mês]]*Table153[[#This Row],[Média Alunos Estimada 
Total Personal]])</f>
        <v>584.97154721407003</v>
      </c>
      <c r="V8" s="77">
        <f>Table153[[#This Row],[Média Faturamento
Estimada Personal]]*Q7</f>
        <v>122905.36299333838</v>
      </c>
      <c r="W8" s="77">
        <f t="shared" si="7"/>
        <v>6145.2681496669193</v>
      </c>
      <c r="X8" s="72">
        <f>Table153[[#This Row],[Média Alunos Estimada 
Total Personal]]-(Table153[[#This Row],[Tx. % Real Alunos 
não ativados]]*Table153[[#This Row],[Média Alunos Estimada 
Total Personal]])</f>
        <v>12.75</v>
      </c>
      <c r="Y8" s="66">
        <v>0.15</v>
      </c>
      <c r="Z8" s="14">
        <f>Table153[[#This Row],[Ticket Médio Aluno Personal]]*Table153[[#This Row],[Média Real Alunos 
Ativos Personal]]</f>
        <v>3349.7653194140617</v>
      </c>
      <c r="AA8" s="62">
        <f>Table153[[#This Row],[Média Real Alunos 
Ativos Personal]]*Table153[[#This Row],[Personais 
Ativos Mês]]</f>
        <v>466.14920168621205</v>
      </c>
      <c r="AB8" s="14">
        <f>Table153[[#This Row],[Média Real por Personal]]*Q7</f>
        <v>104469.55854433762</v>
      </c>
      <c r="AC8" s="14">
        <f t="shared" si="8"/>
        <v>5223.4779272168817</v>
      </c>
      <c r="AD8" s="14">
        <f>AD7+Table153[[#This Row],[Faturamento 
Real Bruto]]</f>
        <v>402201.62319010665</v>
      </c>
      <c r="AE8" s="14">
        <f>AE7+Table153[[#This Row],[Receita MUVX 
(7,5% &gt;= 1000 Personais)]]</f>
        <v>20110.081159505335</v>
      </c>
      <c r="AF8" s="14">
        <f>Table153[[#This Row],[Investimento no Mês
 (Growth) // 5%]]+AF7</f>
        <v>3681.5415000000003</v>
      </c>
      <c r="AG8" s="73">
        <f>Table153[[#This Row],[Receita MUVX Acumulada]]/Table153[[#This Row],[Investimento Acumulado]]</f>
        <v>5.4624078417981528</v>
      </c>
      <c r="AH8" s="73">
        <f>Table153[[#This Row],[ROI]]+AH7</f>
        <v>20.018492999163758</v>
      </c>
    </row>
    <row r="9" spans="1:34">
      <c r="A9" s="60">
        <v>46174</v>
      </c>
      <c r="B9" s="61">
        <f t="shared" si="3"/>
        <v>5000</v>
      </c>
      <c r="C9" s="61">
        <f t="shared" si="4"/>
        <v>13.313860698599999</v>
      </c>
      <c r="D9" s="62">
        <f>Table153[[#This Row],[Investimento no Mês
 (Growth) // 5%]]/Table153[[#This Row],[CPL - Tráfego
(cadastro)]]</f>
        <v>375.54846886191081</v>
      </c>
      <c r="E9" s="63">
        <f t="shared" si="0"/>
        <v>0.3</v>
      </c>
      <c r="F9" s="64">
        <f>Table153[[#This Row],[Novos Cadastros 
LP]]*Table153[[#This Row],[Tx. % Install]]</f>
        <v>112.66454065857324</v>
      </c>
      <c r="G9" s="63">
        <f t="shared" si="1"/>
        <v>0.6</v>
      </c>
      <c r="H9" s="64">
        <f>Table153[[#This Row],[Novos Installs no App]]*Table153[[#This Row],[Tx % Ativações]]</f>
        <v>67.598724395143947</v>
      </c>
      <c r="I9" s="63">
        <f t="shared" si="2"/>
        <v>0.3</v>
      </c>
      <c r="J9" s="64">
        <f t="shared" si="5"/>
        <v>0</v>
      </c>
      <c r="K9" s="63">
        <f t="shared" si="6"/>
        <v>0.2</v>
      </c>
      <c r="L9" s="62">
        <f>(Table153[[#This Row],[Novos Personais Habilitados]]*Table153[[#This Row],[Tx % de Conversão]])+(Table153[[#This Row],[Cadastros Evento Presencial]]*Table153[[#This Row],[Tx % Ativação Presencial]])</f>
        <v>20.279617318543185</v>
      </c>
      <c r="M9" s="62">
        <f>Table153[[#This Row],[Novos Personais Ativados]]+M8</f>
        <v>58.112742159308894</v>
      </c>
      <c r="N9" s="65">
        <f>Table153[[#This Row],[Investimento no Mês
 (Growth) // 5%]]/Table153[[#This Row],[Novos Personais Ativados]]</f>
        <v>246.55297589999998</v>
      </c>
      <c r="O9" s="66">
        <v>0.02</v>
      </c>
      <c r="P9" s="67">
        <f>M8*Table153[[#This Row],[Tx. % Churn]]</f>
        <v>0.75666249681531428</v>
      </c>
      <c r="Q9" s="62">
        <f>Table153[[#This Row],[Personais 
Totais]]-Table153[[#This Row],[Qtde. Churn 
no Mês]]</f>
        <v>57.356079662493578</v>
      </c>
      <c r="R9" s="68">
        <v>15</v>
      </c>
      <c r="S9" s="61">
        <f t="shared" si="9"/>
        <v>266.66759209453113</v>
      </c>
      <c r="T9" s="76">
        <f>Table153[[#This Row],[Média Alunos Estimada 
Total Personal]]*Table153[[#This Row],[Ticket Médio Aluno Personal]]</f>
        <v>4000.0138814179668</v>
      </c>
      <c r="U9" s="62">
        <f>Table153[[#This Row],[Personais 
Ativos Mês]]+(Table153[[#This Row],[Personais 
Ativos Mês]]*Table153[[#This Row],[Média Alunos Estimada 
Total Personal]])</f>
        <v>917.69727459989724</v>
      </c>
      <c r="V9" s="77">
        <f>Table153[[#This Row],[Média Faturamento
Estimada Personal]]*Q8</f>
        <v>146243.39431817661</v>
      </c>
      <c r="W9" s="77">
        <f t="shared" si="7"/>
        <v>7312.1697159088308</v>
      </c>
      <c r="X9" s="72">
        <f>Table153[[#This Row],[Média Alunos Estimada 
Total Personal]]-(Table153[[#This Row],[Tx. % Real Alunos 
não ativados]]*Table153[[#This Row],[Média Alunos Estimada 
Total Personal]])</f>
        <v>12.75</v>
      </c>
      <c r="Y9" s="66">
        <v>0.15</v>
      </c>
      <c r="Z9" s="14">
        <f>Table153[[#This Row],[Ticket Médio Aluno Personal]]*Table153[[#This Row],[Média Real Alunos 
Ativos Personal]]</f>
        <v>3400.0117992052719</v>
      </c>
      <c r="AA9" s="62">
        <f>Table153[[#This Row],[Média Real Alunos 
Ativos Personal]]*Table153[[#This Row],[Personais 
Ativos Mês]]</f>
        <v>731.29001569679315</v>
      </c>
      <c r="AB9" s="14">
        <f>Table153[[#This Row],[Média Real por Personal]]*Q8</f>
        <v>124306.88517045011</v>
      </c>
      <c r="AC9" s="14">
        <f t="shared" si="8"/>
        <v>6215.3442585225057</v>
      </c>
      <c r="AD9" s="14">
        <f>AD8+Table153[[#This Row],[Faturamento 
Real Bruto]]</f>
        <v>526508.50836055679</v>
      </c>
      <c r="AE9" s="14">
        <f>AE8+Table153[[#This Row],[Receita MUVX 
(7,5% &gt;= 1000 Personais)]]</f>
        <v>26325.42541802784</v>
      </c>
      <c r="AF9" s="14">
        <f>Table153[[#This Row],[Investimento no Mês
 (Growth) // 5%]]+AF8</f>
        <v>8681.5414999999994</v>
      </c>
      <c r="AG9" s="73">
        <f>Table153[[#This Row],[Receita MUVX Acumulada]]/Table153[[#This Row],[Investimento Acumulado]]</f>
        <v>3.0323445920321688</v>
      </c>
      <c r="AH9" s="73">
        <f>Table153[[#This Row],[ROI]]+AH8</f>
        <v>23.050837591195926</v>
      </c>
    </row>
    <row r="10" spans="1:34">
      <c r="A10" s="78">
        <v>46204</v>
      </c>
      <c r="B10" s="61">
        <f t="shared" si="3"/>
        <v>5000</v>
      </c>
      <c r="C10" s="61">
        <f t="shared" si="4"/>
        <v>13.180722091613999</v>
      </c>
      <c r="D10" s="62">
        <f>Table153[[#This Row],[Investimento no Mês
 (Growth) // 5%]]/Table153[[#This Row],[CPL - Tráfego
(cadastro)]]</f>
        <v>379.34188773930384</v>
      </c>
      <c r="E10" s="63">
        <f t="shared" si="0"/>
        <v>0.3</v>
      </c>
      <c r="F10" s="64">
        <f>Table153[[#This Row],[Novos Cadastros 
LP]]*Table153[[#This Row],[Tx. % Install]]</f>
        <v>113.80256632179115</v>
      </c>
      <c r="G10" s="63">
        <f t="shared" si="1"/>
        <v>0.6</v>
      </c>
      <c r="H10" s="64">
        <f>Table153[[#This Row],[Novos Installs no App]]*Table153[[#This Row],[Tx % Ativações]]</f>
        <v>68.281539793074685</v>
      </c>
      <c r="I10" s="63">
        <f t="shared" si="2"/>
        <v>0.3</v>
      </c>
      <c r="J10" s="64">
        <f t="shared" si="5"/>
        <v>0</v>
      </c>
      <c r="K10" s="63">
        <f t="shared" si="6"/>
        <v>0</v>
      </c>
      <c r="L10" s="62">
        <f>(Table153[[#This Row],[Novos Personais Habilitados]]*Table153[[#This Row],[Tx % de Conversão]])+(Table153[[#This Row],[Cadastros Evento Presencial]]*Table153[[#This Row],[Tx % Ativação Presencial]])</f>
        <v>20.484461937922404</v>
      </c>
      <c r="M10" s="62">
        <f>Table153[[#This Row],[Novos Personais Ativados]]+M9</f>
        <v>78.597204097231298</v>
      </c>
      <c r="N10" s="65">
        <f>Table153[[#This Row],[Investimento no Mês
 (Growth) // 5%]]/Table153[[#This Row],[Novos Personais Ativados]]</f>
        <v>244.08744614100004</v>
      </c>
      <c r="O10" s="66">
        <v>0.02</v>
      </c>
      <c r="P10" s="67">
        <f>M9*Table153[[#This Row],[Tx. % Churn]]</f>
        <v>1.1622548431861779</v>
      </c>
      <c r="Q10" s="62">
        <f>Table153[[#This Row],[Personais 
Totais]]-Table153[[#This Row],[Qtde. Churn 
no Mês]]</f>
        <v>77.434949254045122</v>
      </c>
      <c r="R10" s="68">
        <v>15</v>
      </c>
      <c r="S10" s="61">
        <f t="shared" si="9"/>
        <v>270.66760597594907</v>
      </c>
      <c r="T10" s="76">
        <f>Table153[[#This Row],[Média Alunos Estimada 
Total Personal]]*Table153[[#This Row],[Ticket Médio Aluno Personal]]</f>
        <v>4060.0140896392359</v>
      </c>
      <c r="U10" s="62">
        <f>Table153[[#This Row],[Personais 
Ativos Mês]]+(Table153[[#This Row],[Personais 
Ativos Mês]]*Table153[[#This Row],[Média Alunos Estimada 
Total Personal]])</f>
        <v>1238.959188064722</v>
      </c>
      <c r="V10" s="77">
        <f>Table153[[#This Row],[Média Faturamento
Estimada Personal]]*Q9</f>
        <v>232866.49155619435</v>
      </c>
      <c r="W10" s="77">
        <f t="shared" si="7"/>
        <v>11643.324577809719</v>
      </c>
      <c r="X10" s="72">
        <f>Table153[[#This Row],[Média Alunos Estimada 
Total Personal]]-(Table153[[#This Row],[Tx. % Real Alunos 
não ativados]]*Table153[[#This Row],[Média Alunos Estimada 
Total Personal]])</f>
        <v>12.75</v>
      </c>
      <c r="Y10" s="66">
        <v>0.15</v>
      </c>
      <c r="Z10" s="14">
        <f>Table153[[#This Row],[Ticket Médio Aluno Personal]]*Table153[[#This Row],[Média Real Alunos 
Ativos Personal]]</f>
        <v>3451.0119761933506</v>
      </c>
      <c r="AA10" s="62">
        <f>Table153[[#This Row],[Média Real Alunos 
Ativos Personal]]*Table153[[#This Row],[Personais 
Ativos Mês]]</f>
        <v>987.29560298907529</v>
      </c>
      <c r="AB10" s="14">
        <f>Table153[[#This Row],[Média Real por Personal]]*Q9</f>
        <v>197936.51782276522</v>
      </c>
      <c r="AC10" s="14">
        <f t="shared" si="8"/>
        <v>9896.8258911382618</v>
      </c>
      <c r="AD10" s="14">
        <f>AD9+Table153[[#This Row],[Faturamento 
Real Bruto]]</f>
        <v>724445.02618332207</v>
      </c>
      <c r="AE10" s="14">
        <f>AE9+Table153[[#This Row],[Receita MUVX 
(7,5% &gt;= 1000 Personais)]]</f>
        <v>36222.251309166102</v>
      </c>
      <c r="AF10" s="14">
        <f>Table153[[#This Row],[Investimento no Mês
 (Growth) // 5%]]+AF9</f>
        <v>13681.541499999999</v>
      </c>
      <c r="AG10" s="73">
        <f>Table153[[#This Row],[Receita MUVX Acumulada]]/Table153[[#This Row],[Investimento Acumulado]]</f>
        <v>2.6475270574712728</v>
      </c>
      <c r="AH10" s="73">
        <f>Table153[[#This Row],[ROI]]+AH9</f>
        <v>25.698364648667198</v>
      </c>
    </row>
    <row r="11" spans="1:34">
      <c r="A11" s="60">
        <v>46235</v>
      </c>
      <c r="B11" s="61">
        <f t="shared" si="3"/>
        <v>5000</v>
      </c>
      <c r="C11" s="61">
        <f t="shared" si="4"/>
        <v>13.048914870697859</v>
      </c>
      <c r="D11" s="62">
        <f>Table153[[#This Row],[Investimento no Mês
 (Growth) // 5%]]/Table153[[#This Row],[CPL - Tráfego
(cadastro)]]</f>
        <v>383.17362397909483</v>
      </c>
      <c r="E11" s="63">
        <f t="shared" si="0"/>
        <v>0.3</v>
      </c>
      <c r="F11" s="64">
        <f>Table153[[#This Row],[Novos Cadastros 
LP]]*Table153[[#This Row],[Tx. % Install]]</f>
        <v>114.95208719372845</v>
      </c>
      <c r="G11" s="63">
        <f t="shared" si="1"/>
        <v>0.6</v>
      </c>
      <c r="H11" s="64">
        <f>Table153[[#This Row],[Novos Installs no App]]*Table153[[#This Row],[Tx % Ativações]]</f>
        <v>68.97125231623707</v>
      </c>
      <c r="I11" s="63">
        <f t="shared" si="2"/>
        <v>0.3</v>
      </c>
      <c r="J11" s="64">
        <f t="shared" si="5"/>
        <v>0</v>
      </c>
      <c r="K11" s="63">
        <f t="shared" si="6"/>
        <v>0</v>
      </c>
      <c r="L11" s="62">
        <f>(Table153[[#This Row],[Novos Personais Habilitados]]*Table153[[#This Row],[Tx % de Conversão]])+(Table153[[#This Row],[Cadastros Evento Presencial]]*Table153[[#This Row],[Tx % Ativação Presencial]])</f>
        <v>20.69137569487112</v>
      </c>
      <c r="M11" s="62">
        <f>Table153[[#This Row],[Novos Personais Ativados]]+M10</f>
        <v>99.288579792102411</v>
      </c>
      <c r="N11" s="65">
        <f>Table153[[#This Row],[Investimento no Mês
 (Growth) // 5%]]/Table153[[#This Row],[Novos Personais Ativados]]</f>
        <v>241.64657167958998</v>
      </c>
      <c r="O11" s="66">
        <v>0.02</v>
      </c>
      <c r="P11" s="67">
        <f>M10*Table153[[#This Row],[Tx. % Churn]]</f>
        <v>1.571944081944626</v>
      </c>
      <c r="Q11" s="62">
        <f>Table153[[#This Row],[Personais 
Totais]]-Table153[[#This Row],[Qtde. Churn 
no Mês]]</f>
        <v>97.716635710157789</v>
      </c>
      <c r="R11" s="68">
        <v>15</v>
      </c>
      <c r="S11" s="61">
        <f t="shared" si="9"/>
        <v>274.72762006558827</v>
      </c>
      <c r="T11" s="76">
        <f>Table153[[#This Row],[Média Alunos Estimada 
Total Personal]]*Table153[[#This Row],[Ticket Médio Aluno Personal]]</f>
        <v>4120.9143009838244</v>
      </c>
      <c r="U11" s="62">
        <f>Table153[[#This Row],[Personais 
Ativos Mês]]+(Table153[[#This Row],[Personais 
Ativos Mês]]*Table153[[#This Row],[Média Alunos Estimada 
Total Personal]])</f>
        <v>1563.4661713625246</v>
      </c>
      <c r="V11" s="77">
        <f>Table153[[#This Row],[Média Faturamento
Estimada Personal]]*Q10</f>
        <v>319102.78977695125</v>
      </c>
      <c r="W11" s="77">
        <f t="shared" si="7"/>
        <v>15955.139488847562</v>
      </c>
      <c r="X11" s="72">
        <f>Table153[[#This Row],[Média Alunos Estimada 
Total Personal]]-(Table153[[#This Row],[Tx. % Real Alunos 
não ativados]]*Table153[[#This Row],[Média Alunos Estimada 
Total Personal]])</f>
        <v>12.75</v>
      </c>
      <c r="Y11" s="66">
        <v>0.15</v>
      </c>
      <c r="Z11" s="14">
        <f>Table153[[#This Row],[Ticket Médio Aluno Personal]]*Table153[[#This Row],[Média Real Alunos 
Ativos Personal]]</f>
        <v>3502.7771558362506</v>
      </c>
      <c r="AA11" s="62">
        <f>Table153[[#This Row],[Média Real Alunos 
Ativos Personal]]*Table153[[#This Row],[Personais 
Ativos Mês]]</f>
        <v>1245.8871053045118</v>
      </c>
      <c r="AB11" s="14">
        <f>Table153[[#This Row],[Média Real por Personal]]*Q10</f>
        <v>271237.37131040858</v>
      </c>
      <c r="AC11" s="14">
        <f t="shared" si="8"/>
        <v>13561.86856552043</v>
      </c>
      <c r="AD11" s="14">
        <f>AD10+Table153[[#This Row],[Faturamento 
Real Bruto]]</f>
        <v>995682.39749373065</v>
      </c>
      <c r="AE11" s="14">
        <f>AE10+Table153[[#This Row],[Receita MUVX 
(7,5% &gt;= 1000 Personais)]]</f>
        <v>49784.119874686534</v>
      </c>
      <c r="AF11" s="14">
        <f>Table153[[#This Row],[Investimento no Mês
 (Growth) // 5%]]+AF10</f>
        <v>18681.541499999999</v>
      </c>
      <c r="AG11" s="73">
        <f>Table153[[#This Row],[Receita MUVX Acumulada]]/Table153[[#This Row],[Investimento Acumulado]]</f>
        <v>2.6648828671170706</v>
      </c>
      <c r="AH11" s="73">
        <f>Table153[[#This Row],[ROI]]+AH10</f>
        <v>28.36324751578427</v>
      </c>
    </row>
    <row r="12" spans="1:34">
      <c r="A12" s="78">
        <v>46266</v>
      </c>
      <c r="B12" s="61">
        <f t="shared" si="3"/>
        <v>5000</v>
      </c>
      <c r="C12" s="61">
        <f t="shared" si="4"/>
        <v>12.91842572199088</v>
      </c>
      <c r="D12" s="62">
        <f>Table153[[#This Row],[Investimento no Mês
 (Growth) // 5%]]/Table153[[#This Row],[CPL - Tráfego
(cadastro)]]</f>
        <v>387.04406462534831</v>
      </c>
      <c r="E12" s="63">
        <f t="shared" si="0"/>
        <v>0.3</v>
      </c>
      <c r="F12" s="64">
        <f>Table153[[#This Row],[Novos Cadastros 
LP]]*Table153[[#This Row],[Tx. % Install]]</f>
        <v>116.11321938760449</v>
      </c>
      <c r="G12" s="63">
        <f t="shared" si="1"/>
        <v>0.6</v>
      </c>
      <c r="H12" s="64">
        <f>Table153[[#This Row],[Novos Installs no App]]*Table153[[#This Row],[Tx % Ativações]]</f>
        <v>69.667931632562684</v>
      </c>
      <c r="I12" s="63">
        <f t="shared" si="2"/>
        <v>0.3</v>
      </c>
      <c r="J12" s="64">
        <f t="shared" si="5"/>
        <v>0</v>
      </c>
      <c r="K12" s="63">
        <f t="shared" si="6"/>
        <v>0</v>
      </c>
      <c r="L12" s="62">
        <f>(Table153[[#This Row],[Novos Personais Habilitados]]*Table153[[#This Row],[Tx % de Conversão]])+(Table153[[#This Row],[Cadastros Evento Presencial]]*Table153[[#This Row],[Tx % Ativação Presencial]])</f>
        <v>20.900379489768806</v>
      </c>
      <c r="M12" s="62">
        <f>Table153[[#This Row],[Novos Personais Ativados]]+M11</f>
        <v>120.18895928187122</v>
      </c>
      <c r="N12" s="65">
        <f>Table153[[#This Row],[Investimento no Mês
 (Growth) // 5%]]/Table153[[#This Row],[Novos Personais Ativados]]</f>
        <v>239.23010596279411</v>
      </c>
      <c r="O12" s="66">
        <v>0.03</v>
      </c>
      <c r="P12" s="67">
        <f>M11*Table153[[#This Row],[Tx. % Churn]]</f>
        <v>2.978657393763072</v>
      </c>
      <c r="Q12" s="62">
        <f>Table153[[#This Row],[Personais 
Totais]]-Table153[[#This Row],[Qtde. Churn 
no Mês]]</f>
        <v>117.21030188810815</v>
      </c>
      <c r="R12" s="68">
        <v>15</v>
      </c>
      <c r="S12" s="61">
        <f t="shared" si="9"/>
        <v>278.84853436657204</v>
      </c>
      <c r="T12" s="76">
        <f>Table153[[#This Row],[Média Alunos Estimada 
Total Personal]]*Table153[[#This Row],[Ticket Médio Aluno Personal]]</f>
        <v>4182.7280154985801</v>
      </c>
      <c r="U12" s="62">
        <f>Table153[[#This Row],[Personais 
Ativos Mês]]+(Table153[[#This Row],[Personais 
Ativos Mês]]*Table153[[#This Row],[Média Alunos Estimada 
Total Personal]])</f>
        <v>1875.3648302097304</v>
      </c>
      <c r="V12" s="77">
        <f>Table153[[#This Row],[Média Faturamento
Estimada Personal]]*Q11</f>
        <v>408722.10976514599</v>
      </c>
      <c r="W12" s="77">
        <f t="shared" si="7"/>
        <v>20436.105488257301</v>
      </c>
      <c r="X12" s="72">
        <f>Table153[[#This Row],[Média Alunos Estimada 
Total Personal]]-(Table153[[#This Row],[Tx. % Real Alunos 
não ativados]]*Table153[[#This Row],[Média Alunos Estimada 
Total Personal]])</f>
        <v>12.75</v>
      </c>
      <c r="Y12" s="66">
        <v>0.15</v>
      </c>
      <c r="Z12" s="14">
        <f>Table153[[#This Row],[Ticket Médio Aluno Personal]]*Table153[[#This Row],[Média Real Alunos 
Ativos Personal]]</f>
        <v>3555.3188131737934</v>
      </c>
      <c r="AA12" s="62">
        <f>Table153[[#This Row],[Média Real Alunos 
Ativos Personal]]*Table153[[#This Row],[Personais 
Ativos Mês]]</f>
        <v>1494.4313490733789</v>
      </c>
      <c r="AB12" s="14">
        <f>Table153[[#This Row],[Média Real por Personal]]*Q11</f>
        <v>347413.79330037412</v>
      </c>
      <c r="AC12" s="14">
        <f t="shared" si="8"/>
        <v>17370.689665018708</v>
      </c>
      <c r="AD12" s="14">
        <f>AD11+Table153[[#This Row],[Faturamento 
Real Bruto]]</f>
        <v>1343096.1907941047</v>
      </c>
      <c r="AE12" s="14">
        <f>AE11+Table153[[#This Row],[Receita MUVX 
(7,5% &gt;= 1000 Personais)]]</f>
        <v>67154.809539705238</v>
      </c>
      <c r="AF12" s="14">
        <f>Table153[[#This Row],[Investimento no Mês
 (Growth) // 5%]]+AF11</f>
        <v>23681.541499999999</v>
      </c>
      <c r="AG12" s="73">
        <f>Table153[[#This Row],[Receita MUVX Acumulada]]/Table153[[#This Row],[Investimento Acumulado]]</f>
        <v>2.8357448580661542</v>
      </c>
      <c r="AH12" s="73">
        <f>Table153[[#This Row],[ROI]]+AH11</f>
        <v>31.198992373850423</v>
      </c>
    </row>
    <row r="13" spans="1:34">
      <c r="A13" s="60">
        <v>46296</v>
      </c>
      <c r="B13" s="61">
        <f t="shared" si="3"/>
        <v>5000</v>
      </c>
      <c r="C13" s="61">
        <f t="shared" si="4"/>
        <v>12.789241464770971</v>
      </c>
      <c r="D13" s="62">
        <f>Table153[[#This Row],[Investimento no Mês
 (Growth) // 5%]]/Table153[[#This Row],[CPL - Tráfego
(cadastro)]]</f>
        <v>390.95360063166498</v>
      </c>
      <c r="E13" s="63">
        <f t="shared" si="0"/>
        <v>0.3</v>
      </c>
      <c r="F13" s="64">
        <f>Table153[[#This Row],[Novos Cadastros 
LP]]*Table153[[#This Row],[Tx. % Install]]</f>
        <v>117.28608018949949</v>
      </c>
      <c r="G13" s="63">
        <f t="shared" si="1"/>
        <v>0.6</v>
      </c>
      <c r="H13" s="64">
        <f>Table153[[#This Row],[Novos Installs no App]]*Table153[[#This Row],[Tx % Ativações]]</f>
        <v>70.371648113699692</v>
      </c>
      <c r="I13" s="63">
        <f t="shared" si="2"/>
        <v>0.3</v>
      </c>
      <c r="J13" s="64">
        <f t="shared" si="5"/>
        <v>0</v>
      </c>
      <c r="K13" s="63">
        <f t="shared" si="6"/>
        <v>0</v>
      </c>
      <c r="L13" s="62">
        <f>(Table153[[#This Row],[Novos Personais Habilitados]]*Table153[[#This Row],[Tx % de Conversão]])+(Table153[[#This Row],[Cadastros Evento Presencial]]*Table153[[#This Row],[Tx % Ativação Presencial]])</f>
        <v>21.111494434109908</v>
      </c>
      <c r="M13" s="62">
        <f>Table153[[#This Row],[Novos Personais Ativados]]+M12</f>
        <v>141.30045371598112</v>
      </c>
      <c r="N13" s="65">
        <f>Table153[[#This Row],[Investimento no Mês
 (Growth) // 5%]]/Table153[[#This Row],[Novos Personais Ativados]]</f>
        <v>236.83780490316613</v>
      </c>
      <c r="O13" s="66">
        <v>0.02</v>
      </c>
      <c r="P13" s="67">
        <f>M12*Table153[[#This Row],[Tx. % Churn]]</f>
        <v>2.4037791856374247</v>
      </c>
      <c r="Q13" s="62">
        <f>Table153[[#This Row],[Personais 
Totais]]-Table153[[#This Row],[Qtde. Churn 
no Mês]]</f>
        <v>138.89667453034369</v>
      </c>
      <c r="R13" s="68">
        <v>15</v>
      </c>
      <c r="S13" s="61">
        <f t="shared" si="9"/>
        <v>283.03126238207057</v>
      </c>
      <c r="T13" s="76">
        <f>Table153[[#This Row],[Média Alunos Estimada 
Total Personal]]*Table153[[#This Row],[Ticket Médio Aluno Personal]]</f>
        <v>4245.4689357310581</v>
      </c>
      <c r="U13" s="62">
        <f>Table153[[#This Row],[Personais 
Ativos Mês]]+(Table153[[#This Row],[Personais 
Ativos Mês]]*Table153[[#This Row],[Média Alunos Estimada 
Total Personal]])</f>
        <v>2222.346792485499</v>
      </c>
      <c r="V13" s="77">
        <f>Table153[[#This Row],[Média Faturamento
Estimada Personal]]*Q12</f>
        <v>497612.69561362255</v>
      </c>
      <c r="W13" s="77">
        <f t="shared" si="7"/>
        <v>24880.634780681128</v>
      </c>
      <c r="X13" s="72">
        <f>Table153[[#This Row],[Média Alunos Estimada 
Total Personal]]-(Table153[[#This Row],[Tx. % Real Alunos 
não ativados]]*Table153[[#This Row],[Média Alunos Estimada 
Total Personal]])</f>
        <v>12.75</v>
      </c>
      <c r="Y13" s="66">
        <v>0.15</v>
      </c>
      <c r="Z13" s="14">
        <f>Table153[[#This Row],[Ticket Médio Aluno Personal]]*Table153[[#This Row],[Média Real Alunos 
Ativos Personal]]</f>
        <v>3608.6485953713996</v>
      </c>
      <c r="AA13" s="62">
        <f>Table153[[#This Row],[Média Real Alunos 
Ativos Personal]]*Table153[[#This Row],[Personais 
Ativos Mês]]</f>
        <v>1770.932600261882</v>
      </c>
      <c r="AB13" s="14">
        <f>Table153[[#This Row],[Média Real por Personal]]*Q12</f>
        <v>422970.79127157916</v>
      </c>
      <c r="AC13" s="14">
        <f t="shared" si="8"/>
        <v>21148.539563578961</v>
      </c>
      <c r="AD13" s="14">
        <f>AD12+Table153[[#This Row],[Faturamento 
Real Bruto]]</f>
        <v>1766066.9820656839</v>
      </c>
      <c r="AE13" s="14">
        <f>AE12+Table153[[#This Row],[Receita MUVX 
(7,5% &gt;= 1000 Personais)]]</f>
        <v>88303.349103284199</v>
      </c>
      <c r="AF13" s="14">
        <f>Table153[[#This Row],[Investimento no Mês
 (Growth) // 5%]]+AF12</f>
        <v>28681.541499999999</v>
      </c>
      <c r="AG13" s="73">
        <f>Table153[[#This Row],[Receita MUVX Acumulada]]/Table153[[#This Row],[Investimento Acumulado]]</f>
        <v>3.0787518552056974</v>
      </c>
      <c r="AH13" s="73">
        <f>Table153[[#This Row],[ROI]]+AH12</f>
        <v>34.277744229056118</v>
      </c>
    </row>
    <row r="14" spans="1:34">
      <c r="A14" s="78">
        <v>46327</v>
      </c>
      <c r="B14" s="61">
        <f t="shared" si="3"/>
        <v>5000</v>
      </c>
      <c r="C14" s="61">
        <f t="shared" si="4"/>
        <v>12.661349050123262</v>
      </c>
      <c r="D14" s="62">
        <f>Table153[[#This Row],[Investimento no Mês
 (Growth) // 5%]]/Table153[[#This Row],[CPL - Tráfego
(cadastro)]]</f>
        <v>394.90262690067169</v>
      </c>
      <c r="E14" s="63">
        <f t="shared" si="0"/>
        <v>0.3</v>
      </c>
      <c r="F14" s="64">
        <f>Table153[[#This Row],[Novos Cadastros 
LP]]*Table153[[#This Row],[Tx. % Install]]</f>
        <v>118.47078807020151</v>
      </c>
      <c r="G14" s="63">
        <f t="shared" si="1"/>
        <v>0.6</v>
      </c>
      <c r="H14" s="64">
        <f>Table153[[#This Row],[Novos Installs no App]]*Table153[[#This Row],[Tx % Ativações]]</f>
        <v>71.082472842120907</v>
      </c>
      <c r="I14" s="63">
        <f t="shared" si="2"/>
        <v>0.3</v>
      </c>
      <c r="J14" s="64">
        <f t="shared" si="5"/>
        <v>0</v>
      </c>
      <c r="K14" s="63">
        <f t="shared" si="6"/>
        <v>0</v>
      </c>
      <c r="L14" s="62">
        <f>(Table153[[#This Row],[Novos Personais Habilitados]]*Table153[[#This Row],[Tx % de Conversão]])+(Table153[[#This Row],[Cadastros Evento Presencial]]*Table153[[#This Row],[Tx % Ativação Presencial]])</f>
        <v>21.324741852636272</v>
      </c>
      <c r="M14" s="62">
        <f>Table153[[#This Row],[Novos Personais Ativados]]+M13</f>
        <v>162.62519556861739</v>
      </c>
      <c r="N14" s="65">
        <f>Table153[[#This Row],[Investimento no Mês
 (Growth) // 5%]]/Table153[[#This Row],[Novos Personais Ativados]]</f>
        <v>234.46942685413444</v>
      </c>
      <c r="O14" s="66">
        <v>0.03</v>
      </c>
      <c r="P14" s="67">
        <f>M13*Table153[[#This Row],[Tx. % Churn]]</f>
        <v>4.2390136114794332</v>
      </c>
      <c r="Q14" s="62">
        <f>Table153[[#This Row],[Personais 
Totais]]-Table153[[#This Row],[Qtde. Churn 
no Mês]]</f>
        <v>158.38618195713795</v>
      </c>
      <c r="R14" s="68">
        <v>15</v>
      </c>
      <c r="S14" s="61">
        <f t="shared" si="9"/>
        <v>287.27673131780159</v>
      </c>
      <c r="T14" s="76">
        <f>Table153[[#This Row],[Média Alunos Estimada 
Total Personal]]*Table153[[#This Row],[Ticket Médio Aluno Personal]]</f>
        <v>4309.1509697670235</v>
      </c>
      <c r="U14" s="62">
        <f>Table153[[#This Row],[Personais 
Ativos Mês]]+(Table153[[#This Row],[Personais 
Ativos Mês]]*Table153[[#This Row],[Média Alunos Estimada 
Total Personal]])</f>
        <v>2534.1789113142072</v>
      </c>
      <c r="V14" s="77">
        <f>Table153[[#This Row],[Média Faturamento
Estimada Personal]]*Q13</f>
        <v>598526.73974984512</v>
      </c>
      <c r="W14" s="77">
        <f t="shared" si="7"/>
        <v>29926.336987492257</v>
      </c>
      <c r="X14" s="72">
        <f>Table153[[#This Row],[Média Alunos Estimada 
Total Personal]]-(Table153[[#This Row],[Tx. % Real Alunos 
não ativados]]*Table153[[#This Row],[Média Alunos Estimada 
Total Personal]])</f>
        <v>12.75</v>
      </c>
      <c r="Y14" s="66">
        <v>0.15</v>
      </c>
      <c r="Z14" s="14">
        <f>Table153[[#This Row],[Ticket Médio Aluno Personal]]*Table153[[#This Row],[Média Real Alunos 
Ativos Personal]]</f>
        <v>3662.7783243019703</v>
      </c>
      <c r="AA14" s="62">
        <f>Table153[[#This Row],[Média Real Alunos 
Ativos Personal]]*Table153[[#This Row],[Personais 
Ativos Mês]]</f>
        <v>2019.4238199535089</v>
      </c>
      <c r="AB14" s="14">
        <f>Table153[[#This Row],[Média Real por Personal]]*Q13</f>
        <v>508747.7287873684</v>
      </c>
      <c r="AC14" s="14">
        <f t="shared" si="8"/>
        <v>25437.38643936842</v>
      </c>
      <c r="AD14" s="14">
        <f>AD13+Table153[[#This Row],[Faturamento 
Real Bruto]]</f>
        <v>2274814.7108530523</v>
      </c>
      <c r="AE14" s="14">
        <f>AE13+Table153[[#This Row],[Receita MUVX 
(7,5% &gt;= 1000 Personais)]]</f>
        <v>113740.73554265262</v>
      </c>
      <c r="AF14" s="14">
        <f>Table153[[#This Row],[Investimento no Mês
 (Growth) // 5%]]+AF13</f>
        <v>33681.541499999999</v>
      </c>
      <c r="AG14" s="73">
        <f>Table153[[#This Row],[Receita MUVX Acumulada]]/Table153[[#This Row],[Investimento Acumulado]]</f>
        <v>3.3769456645163531</v>
      </c>
      <c r="AH14" s="73">
        <f>Table153[[#This Row],[ROI]]+AH13</f>
        <v>37.654689893572474</v>
      </c>
    </row>
    <row r="15" spans="1:34">
      <c r="A15" s="60">
        <v>46357</v>
      </c>
      <c r="B15" s="61">
        <f t="shared" si="3"/>
        <v>5000</v>
      </c>
      <c r="C15" s="61">
        <f t="shared" si="4"/>
        <v>12.534735559622028</v>
      </c>
      <c r="D15" s="62">
        <f>Table153[[#This Row],[Investimento no Mês
 (Growth) // 5%]]/Table153[[#This Row],[CPL - Tráfego
(cadastro)]]</f>
        <v>398.89154232391081</v>
      </c>
      <c r="E15" s="63">
        <f t="shared" si="0"/>
        <v>0.3</v>
      </c>
      <c r="F15" s="64">
        <f>Table153[[#This Row],[Novos Cadastros 
LP]]*Table153[[#This Row],[Tx. % Install]]</f>
        <v>119.66746269717324</v>
      </c>
      <c r="G15" s="63">
        <f t="shared" si="1"/>
        <v>0.6</v>
      </c>
      <c r="H15" s="64">
        <f>Table153[[#This Row],[Novos Installs no App]]*Table153[[#This Row],[Tx % Ativações]]</f>
        <v>71.800477618303944</v>
      </c>
      <c r="I15" s="63">
        <f t="shared" si="2"/>
        <v>0.3</v>
      </c>
      <c r="J15" s="64">
        <f t="shared" si="5"/>
        <v>0</v>
      </c>
      <c r="K15" s="63">
        <f t="shared" si="6"/>
        <v>0</v>
      </c>
      <c r="L15" s="62">
        <f>(Table153[[#This Row],[Novos Personais Habilitados]]*Table153[[#This Row],[Tx % de Conversão]])+(Table153[[#This Row],[Cadastros Evento Presencial]]*Table153[[#This Row],[Tx % Ativação Presencial]])</f>
        <v>21.540143285491183</v>
      </c>
      <c r="M15" s="62">
        <f>Table153[[#This Row],[Novos Personais Ativados]]+M14</f>
        <v>184.16533885410857</v>
      </c>
      <c r="N15" s="65">
        <f>Table153[[#This Row],[Investimento no Mês
 (Growth) // 5%]]/Table153[[#This Row],[Novos Personais Ativados]]</f>
        <v>232.12473258559311</v>
      </c>
      <c r="O15" s="66">
        <v>0.03</v>
      </c>
      <c r="P15" s="67">
        <f>M14*Table153[[#This Row],[Tx. % Churn]]</f>
        <v>4.8787558670585218</v>
      </c>
      <c r="Q15" s="62">
        <f>Table153[[#This Row],[Personais 
Totais]]-Table153[[#This Row],[Qtde. Churn 
no Mês]]</f>
        <v>179.28658298705005</v>
      </c>
      <c r="R15" s="68">
        <v>15</v>
      </c>
      <c r="S15" s="61">
        <f t="shared" si="9"/>
        <v>291.58588228756861</v>
      </c>
      <c r="T15" s="76">
        <f>Table153[[#This Row],[Média Alunos Estimada 
Total Personal]]*Table153[[#This Row],[Ticket Médio Aluno Personal]]</f>
        <v>4373.7882343135288</v>
      </c>
      <c r="U15" s="62">
        <f>Table153[[#This Row],[Personais 
Ativos Mês]]+(Table153[[#This Row],[Personais 
Ativos Mês]]*Table153[[#This Row],[Média Alunos Estimada 
Total Personal]])</f>
        <v>2868.5853277928009</v>
      </c>
      <c r="V15" s="77">
        <f>Table153[[#This Row],[Média Faturamento
Estimada Personal]]*Q14</f>
        <v>692747.61912197166</v>
      </c>
      <c r="W15" s="77">
        <f t="shared" si="7"/>
        <v>34637.380956098583</v>
      </c>
      <c r="X15" s="72">
        <f>Table153[[#This Row],[Média Alunos Estimada 
Total Personal]]-(Table153[[#This Row],[Tx. % Real Alunos 
não ativados]]*Table153[[#This Row],[Média Alunos Estimada 
Total Personal]])</f>
        <v>12.75</v>
      </c>
      <c r="Y15" s="66">
        <v>0.15</v>
      </c>
      <c r="Z15" s="14">
        <f>Table153[[#This Row],[Ticket Médio Aluno Personal]]*Table153[[#This Row],[Média Real Alunos 
Ativos Personal]]</f>
        <v>3717.7199991664997</v>
      </c>
      <c r="AA15" s="62">
        <f>Table153[[#This Row],[Média Real Alunos 
Ativos Personal]]*Table153[[#This Row],[Personais 
Ativos Mês]]</f>
        <v>2285.9039330848882</v>
      </c>
      <c r="AB15" s="14">
        <f>Table153[[#This Row],[Média Real por Personal]]*Q14</f>
        <v>588835.476253676</v>
      </c>
      <c r="AC15" s="14">
        <f t="shared" si="8"/>
        <v>29441.773812683801</v>
      </c>
      <c r="AD15" s="14">
        <f>AD14+Table153[[#This Row],[Faturamento 
Real Bruto]]</f>
        <v>2863650.1871067286</v>
      </c>
      <c r="AE15" s="14">
        <f>AE14+Table153[[#This Row],[Receita MUVX 
(7,5% &gt;= 1000 Personais)]]</f>
        <v>143182.50935533643</v>
      </c>
      <c r="AF15" s="14">
        <f>Table153[[#This Row],[Investimento no Mês
 (Growth) // 5%]]+AF14</f>
        <v>38681.541499999999</v>
      </c>
      <c r="AG15" s="73">
        <f>Table153[[#This Row],[Receita MUVX Acumulada]]/Table153[[#This Row],[Investimento Acumulado]]</f>
        <v>3.7015719592078931</v>
      </c>
      <c r="AH15" s="73">
        <f>Table153[[#This Row],[ROI]]+AH14</f>
        <v>41.356261852780364</v>
      </c>
    </row>
    <row r="16" spans="1:34">
      <c r="A16" s="60">
        <v>46388</v>
      </c>
      <c r="B16" s="61">
        <f t="shared" si="3"/>
        <v>5000</v>
      </c>
      <c r="C16" s="61">
        <f t="shared" si="4"/>
        <v>12.409388204025808</v>
      </c>
      <c r="D16" s="62">
        <f>Table153[[#This Row],[Investimento no Mês
 (Growth) // 5%]]/Table153[[#This Row],[CPL - Tráfego
(cadastro)]]</f>
        <v>402.92074982213211</v>
      </c>
      <c r="E16" s="63">
        <f t="shared" si="0"/>
        <v>0.3</v>
      </c>
      <c r="F16" s="64">
        <f>Table153[[#This Row],[Novos Cadastros 
LP]]*Table153[[#This Row],[Tx. % Install]]</f>
        <v>120.87622494663962</v>
      </c>
      <c r="G16" s="63">
        <f t="shared" si="1"/>
        <v>0.6</v>
      </c>
      <c r="H16" s="64">
        <f>Table153[[#This Row],[Novos Installs no App]]*Table153[[#This Row],[Tx % Ativações]]</f>
        <v>72.525734967983766</v>
      </c>
      <c r="I16" s="63">
        <f t="shared" si="2"/>
        <v>0.3</v>
      </c>
      <c r="J16" s="64">
        <f t="shared" si="5"/>
        <v>0</v>
      </c>
      <c r="K16" s="63">
        <f t="shared" si="6"/>
        <v>0</v>
      </c>
      <c r="L16" s="62">
        <f>(Table153[[#This Row],[Novos Personais Habilitados]]*Table153[[#This Row],[Tx % de Conversão]])+(Table153[[#This Row],[Cadastros Evento Presencial]]*Table153[[#This Row],[Tx % Ativação Presencial]])</f>
        <v>21.75772049039513</v>
      </c>
      <c r="M16" s="62">
        <f>Table153[[#This Row],[Novos Personais Ativados]]+M15</f>
        <v>205.92305934450371</v>
      </c>
      <c r="N16" s="65">
        <f>Table153[[#This Row],[Investimento no Mês
 (Growth) // 5%]]/Table153[[#This Row],[Novos Personais Ativados]]</f>
        <v>229.80348525973724</v>
      </c>
      <c r="O16" s="66">
        <v>0.06</v>
      </c>
      <c r="P16" s="67">
        <f>M15*Table153[[#This Row],[Tx. % Churn]]</f>
        <v>11.049920331246513</v>
      </c>
      <c r="Q16" s="62">
        <f>Table153[[#This Row],[Personais 
Totais]]-Table153[[#This Row],[Qtde. Churn 
no Mês]]</f>
        <v>194.8731390132572</v>
      </c>
      <c r="R16" s="68">
        <v>15</v>
      </c>
      <c r="S16" s="61">
        <f t="shared" si="9"/>
        <v>295.95967052188212</v>
      </c>
      <c r="T16" s="76">
        <f>Table153[[#This Row],[Média Alunos Estimada 
Total Personal]]*Table153[[#This Row],[Ticket Médio Aluno Personal]]</f>
        <v>4439.395057828232</v>
      </c>
      <c r="U16" s="62">
        <f>Table153[[#This Row],[Personais 
Ativos Mês]]+(Table153[[#This Row],[Personais 
Ativos Mês]]*Table153[[#This Row],[Média Alunos Estimada 
Total Personal]])</f>
        <v>3117.9702242121152</v>
      </c>
      <c r="V16" s="77">
        <f>Table153[[#This Row],[Média Faturamento
Estimada Personal]]*Q15</f>
        <v>795923.97044762119</v>
      </c>
      <c r="W16" s="77">
        <f t="shared" si="7"/>
        <v>39796.198522381063</v>
      </c>
      <c r="X16" s="72">
        <f>Table153[[#This Row],[Média Alunos Estimada 
Total Personal]]-(Table153[[#This Row],[Tx. % Real Alunos 
não ativados]]*Table153[[#This Row],[Média Alunos Estimada 
Total Personal]])</f>
        <v>12.75</v>
      </c>
      <c r="Y16" s="66">
        <v>0.15</v>
      </c>
      <c r="Z16" s="14">
        <f>Table153[[#This Row],[Ticket Médio Aluno Personal]]*Table153[[#This Row],[Média Real Alunos 
Ativos Personal]]</f>
        <v>3773.485799153997</v>
      </c>
      <c r="AA16" s="62">
        <f>Table153[[#This Row],[Média Real Alunos 
Ativos Personal]]*Table153[[#This Row],[Personais 
Ativos Mês]]</f>
        <v>2484.6325224190291</v>
      </c>
      <c r="AB16" s="14">
        <f>Table153[[#This Row],[Média Real por Personal]]*Q15</f>
        <v>676535.37488047802</v>
      </c>
      <c r="AC16" s="14">
        <f t="shared" si="8"/>
        <v>33826.768744023902</v>
      </c>
      <c r="AD16" s="14">
        <f>AD15+Table153[[#This Row],[Faturamento 
Real Bruto]]</f>
        <v>3540185.5619872063</v>
      </c>
      <c r="AE16" s="14">
        <f>AE15+Table153[[#This Row],[Receita MUVX 
(7,5% &gt;= 1000 Personais)]]</f>
        <v>177009.27809936032</v>
      </c>
      <c r="AF16" s="14">
        <f>Table153[[#This Row],[Investimento no Mês
 (Growth) // 5%]]+AF15</f>
        <v>43681.541499999999</v>
      </c>
      <c r="AG16" s="73">
        <f>Table153[[#This Row],[Receita MUVX Acumulada]]/Table153[[#This Row],[Investimento Acumulado]]</f>
        <v>4.0522672053448554</v>
      </c>
      <c r="AH16" s="73">
        <f>Table153[[#This Row],[ROI]]+AH15</f>
        <v>45.408529058125218</v>
      </c>
    </row>
    <row r="17" spans="1:34" s="86" customFormat="1">
      <c r="A17" s="79"/>
      <c r="B17" s="80">
        <f>SUBTOTAL(109,B3:B16)</f>
        <v>43681.541499999999</v>
      </c>
      <c r="C17" s="80">
        <f>SUBTOTAL(101,C3:C16)</f>
        <v>13.105040557246058</v>
      </c>
      <c r="D17" s="81">
        <f>SUBTOTAL(109,D3:D16)</f>
        <v>4411.5457428313221</v>
      </c>
      <c r="E17" s="82">
        <f>AVERAGE(E3:E16)</f>
        <v>0.25428571428571423</v>
      </c>
      <c r="F17" s="81">
        <f>Table153[[#This Row],[Novos Cadastros 
LP]]*Table153[[#This Row],[Tx. % Install]]</f>
        <v>1121.7930603199645</v>
      </c>
      <c r="G17" s="82">
        <f t="shared" si="1"/>
        <v>0.53571428571428559</v>
      </c>
      <c r="H17" s="81">
        <f>Table153[[#This Row],[Novos Installs no App]]*Table153[[#This Row],[Tx % Ativações]]</f>
        <v>600.9605680285523</v>
      </c>
      <c r="I17" s="82">
        <f t="shared" si="2"/>
        <v>0.32857142857142846</v>
      </c>
      <c r="J17" s="82"/>
      <c r="K17" s="82"/>
      <c r="L17" s="83">
        <f>SUBTOTAL(109,L3:L16)</f>
        <v>205.92305934450371</v>
      </c>
      <c r="M17" s="83">
        <f>AVERAGE(M3:M16)</f>
        <v>86.640036047088259</v>
      </c>
      <c r="N17" s="80" t="e">
        <f>SUBTOTAL(101,N3:N16)</f>
        <v>#DIV/0!</v>
      </c>
      <c r="O17" s="84">
        <f>AVERAGE(O3:O16)</f>
        <v>2.571428571428571E-2</v>
      </c>
      <c r="P17" s="83">
        <f>SUBTOTAL(109,P3:P16)</f>
        <v>32.485006321169152</v>
      </c>
      <c r="Q17" s="83">
        <f>Q16</f>
        <v>194.8731390132572</v>
      </c>
      <c r="R17" s="83">
        <f>AVERAGE(R3:R16)</f>
        <v>15</v>
      </c>
      <c r="S17" s="85">
        <f>Table153[[#This Row],[Média Faturamento
Estimada Personal]]/Table153[[#This Row],[Média Alunos Estimada 
Total Personal]]</f>
        <v>251.90031228433662</v>
      </c>
      <c r="T17" s="80">
        <f>SUBTOTAL(101,T3:T16)</f>
        <v>3778.5046842650495</v>
      </c>
      <c r="U17" s="83">
        <f>Table153[[#This Row],[Personais 
Ativos Mês]]+(Table153[[#This Row],[Personais 
Ativos Mês]]*Table153[[#This Row],[Média Alunos Estimada 
Total Personal]])</f>
        <v>3117.9702242121152</v>
      </c>
      <c r="V17" s="85">
        <f>SUBTOTAL(109,V3:V16)</f>
        <v>4164924.1905731834</v>
      </c>
      <c r="W17" s="85">
        <f>Table153[[#This Row],[Faturamento Estimado]]*5%</f>
        <v>208246.20952865918</v>
      </c>
      <c r="X17" s="83"/>
      <c r="Y17" s="83"/>
      <c r="Z17" s="85">
        <f>AVERAGE(Z4:Z16)</f>
        <v>3300.1312109810842</v>
      </c>
      <c r="AA17" s="62"/>
      <c r="AB17" s="80">
        <f>SUBTOTAL(109,AB3:AB16)</f>
        <v>3540185.5619872063</v>
      </c>
      <c r="AC17" s="80">
        <f>SUBTOTAL(109,AC3:AC16)</f>
        <v>177009.27809936032</v>
      </c>
      <c r="AD17" s="80"/>
    </row>
    <row r="18" spans="1:34">
      <c r="A18" s="87"/>
      <c r="D18" s="15"/>
      <c r="E18" s="88"/>
      <c r="F18" s="62"/>
      <c r="G18" s="88">
        <f t="shared" si="1"/>
        <v>0</v>
      </c>
      <c r="H18" s="62"/>
      <c r="I18" s="88">
        <f t="shared" si="2"/>
        <v>0</v>
      </c>
      <c r="J18" s="88"/>
      <c r="K18" s="88"/>
      <c r="S18" s="15"/>
      <c r="U18" s="15"/>
      <c r="V18" s="15"/>
      <c r="W18" s="15"/>
      <c r="X18" s="62"/>
      <c r="AA18" s="83"/>
    </row>
    <row r="19" spans="1:34">
      <c r="A19" s="87"/>
      <c r="C19" s="89" t="s">
        <v>253</v>
      </c>
      <c r="D19" s="90">
        <f>D17/130000</f>
        <v>3.3934967252548631E-2</v>
      </c>
      <c r="E19" s="91"/>
      <c r="F19" s="92">
        <f>Table153[[#This Row],[Novos Cadastros 
LP]]*Table153[[#This Row],[Tx. % Install]]</f>
        <v>0</v>
      </c>
      <c r="G19" s="91">
        <f t="shared" si="1"/>
        <v>0</v>
      </c>
      <c r="H19" s="92">
        <f>Table153[[#This Row],[Novos Installs no App]]*Table153[[#This Row],[Tx % Ativações]]</f>
        <v>0</v>
      </c>
      <c r="I19" s="91">
        <f t="shared" si="2"/>
        <v>0</v>
      </c>
      <c r="J19" s="91"/>
      <c r="K19" s="91"/>
      <c r="L19" s="90"/>
      <c r="P19" s="89" t="s">
        <v>253</v>
      </c>
      <c r="Q19" s="90">
        <f>Q17/130000</f>
        <v>1.4990241462558246E-3</v>
      </c>
      <c r="S19" s="15"/>
      <c r="U19" s="15"/>
      <c r="V19" s="15"/>
      <c r="W19" s="15"/>
      <c r="X19" s="62"/>
      <c r="AA19" s="62"/>
      <c r="AB19" s="93"/>
      <c r="AC19" s="89"/>
    </row>
    <row r="20" spans="1:34">
      <c r="A20" s="87"/>
      <c r="D20" s="15"/>
      <c r="F20" s="91"/>
      <c r="G20" s="90"/>
      <c r="J20" s="89"/>
      <c r="K20" s="90"/>
      <c r="M20" s="15"/>
      <c r="O20" s="15"/>
      <c r="P20" s="15"/>
      <c r="Q20" s="15"/>
      <c r="R20" s="62"/>
      <c r="U20" s="62"/>
      <c r="V20" s="93"/>
      <c r="W20" s="89"/>
    </row>
    <row r="21" spans="1:34">
      <c r="A21" s="87"/>
      <c r="C21" s="185" t="s">
        <v>213</v>
      </c>
      <c r="D21" s="185"/>
      <c r="E21" s="186" t="s">
        <v>214</v>
      </c>
      <c r="F21" s="186"/>
      <c r="G21" s="187" t="s">
        <v>215</v>
      </c>
      <c r="H21" s="187"/>
      <c r="I21" s="186" t="s">
        <v>216</v>
      </c>
      <c r="J21" s="186"/>
      <c r="K21" s="186"/>
      <c r="L21" s="186"/>
      <c r="M21" s="186"/>
      <c r="N21" s="188" t="s">
        <v>217</v>
      </c>
      <c r="O21" s="188"/>
      <c r="P21" s="188"/>
      <c r="Q21" s="188"/>
      <c r="X21" s="184" t="s">
        <v>218</v>
      </c>
      <c r="Y21" s="184"/>
      <c r="Z21" s="184"/>
      <c r="AA21" s="184"/>
      <c r="AB21" s="184"/>
      <c r="AC21" s="184"/>
      <c r="AD21" s="184"/>
    </row>
    <row r="22" spans="1:34" s="59" customFormat="1" ht="54" customHeight="1">
      <c r="A22" s="54" t="s">
        <v>219</v>
      </c>
      <c r="B22" s="54" t="s">
        <v>254</v>
      </c>
      <c r="C22" s="55" t="s">
        <v>255</v>
      </c>
      <c r="D22" s="55" t="s">
        <v>222</v>
      </c>
      <c r="E22" s="56" t="s">
        <v>223</v>
      </c>
      <c r="F22" s="56" t="s">
        <v>224</v>
      </c>
      <c r="G22" s="57" t="s">
        <v>225</v>
      </c>
      <c r="H22" s="57" t="s">
        <v>226</v>
      </c>
      <c r="I22" s="56" t="s">
        <v>227</v>
      </c>
      <c r="J22" s="56" t="s">
        <v>228</v>
      </c>
      <c r="K22" s="56" t="s">
        <v>229</v>
      </c>
      <c r="L22" s="94" t="s">
        <v>230</v>
      </c>
      <c r="M22" s="94" t="s">
        <v>231</v>
      </c>
      <c r="N22" s="54" t="s">
        <v>232</v>
      </c>
      <c r="O22" s="54" t="s">
        <v>233</v>
      </c>
      <c r="P22" s="54" t="s">
        <v>234</v>
      </c>
      <c r="Q22" s="54" t="s">
        <v>235</v>
      </c>
      <c r="R22" s="54" t="s">
        <v>236</v>
      </c>
      <c r="S22" s="54" t="s">
        <v>237</v>
      </c>
      <c r="T22" s="54" t="s">
        <v>238</v>
      </c>
      <c r="U22" s="54" t="s">
        <v>239</v>
      </c>
      <c r="V22" s="54" t="s">
        <v>240</v>
      </c>
      <c r="W22" s="54" t="s">
        <v>324</v>
      </c>
      <c r="X22" s="55" t="s">
        <v>242</v>
      </c>
      <c r="Y22" s="55" t="s">
        <v>243</v>
      </c>
      <c r="Z22" s="55" t="s">
        <v>244</v>
      </c>
      <c r="AA22" s="55" t="s">
        <v>245</v>
      </c>
      <c r="AB22" s="55" t="s">
        <v>246</v>
      </c>
      <c r="AC22" s="55" t="s">
        <v>325</v>
      </c>
      <c r="AD22" s="55" t="s">
        <v>248</v>
      </c>
      <c r="AE22" s="58" t="s">
        <v>249</v>
      </c>
      <c r="AF22" s="58" t="s">
        <v>250</v>
      </c>
      <c r="AG22" s="54" t="s">
        <v>251</v>
      </c>
      <c r="AH22" s="54" t="s">
        <v>252</v>
      </c>
    </row>
    <row r="23" spans="1:34">
      <c r="A23" s="60">
        <v>45992</v>
      </c>
      <c r="B23" s="61">
        <f>B64*0.15</f>
        <v>4700.7389999999996</v>
      </c>
      <c r="C23" s="61">
        <f>C64</f>
        <v>12</v>
      </c>
      <c r="D23" s="62">
        <f>Table1537[[#This Row],[Investimento no Mês 
(Growth) // 15%]]/Table1537[[#This Row],[CPL 
(cadastro)]]</f>
        <v>391.72824999999995</v>
      </c>
      <c r="E23" s="63">
        <f t="shared" ref="E23:E36" si="10">E64</f>
        <v>0.06</v>
      </c>
      <c r="F23" s="64">
        <f>Table1537[[#This Row],[Novos Cadastros 
LP]]*Table1537[[#This Row],[Tx. % Install]]</f>
        <v>23.503694999999997</v>
      </c>
      <c r="G23" s="63">
        <f t="shared" ref="G23:G39" si="11">G64</f>
        <v>0</v>
      </c>
      <c r="H23" s="64">
        <f>Table1537[[#This Row],[Novos Installs no App]]*Table1537[[#This Row],[Tx % Ativações]]</f>
        <v>0</v>
      </c>
      <c r="I23" s="63">
        <f t="shared" ref="I23:I39" si="12">I64</f>
        <v>0.7</v>
      </c>
      <c r="J23" s="64">
        <f t="shared" ref="J23:J39" si="13">J64*50%</f>
        <v>0</v>
      </c>
      <c r="K23" s="63">
        <f t="shared" ref="K23:K39" si="14">K64</f>
        <v>0</v>
      </c>
      <c r="L23" s="62">
        <f>(Table1537[[#This Row],[Novos Personais Habilitados]]*Table1537[[#This Row],[Tx % de Conversão]])+(Table1537[[#This Row],[Cadastros Evento Presencial]]*Table1537[[#This Row],[Tx % Ativação Presencial]])</f>
        <v>0</v>
      </c>
      <c r="M23" s="62">
        <f>Table1537[[#This Row],[Novos Personais Ativados]]</f>
        <v>0</v>
      </c>
      <c r="N23" s="65" t="e">
        <f>Table1537[[#This Row],[Investimento no Mês 
(Growth) // 15%]]/Table1537[[#This Row],[Novos Personais Ativados]]</f>
        <v>#DIV/0!</v>
      </c>
      <c r="O23" s="66">
        <v>0</v>
      </c>
      <c r="P23" s="67">
        <f>Table1537[[#This Row],[Personais 
Totais]]*Table1537[[#This Row],[Tx. % Churn]]</f>
        <v>0</v>
      </c>
      <c r="Q23" s="62">
        <f>Table1537[[#This Row],[Personais 
Totais]]-Table1537[[#This Row],[Qtde. Churn 
no Mês]]</f>
        <v>0</v>
      </c>
      <c r="R23" s="68">
        <v>15</v>
      </c>
      <c r="S23" s="69">
        <v>0</v>
      </c>
      <c r="T23" s="70">
        <v>0</v>
      </c>
      <c r="U23" s="62">
        <f>Table1537[[#This Row],[Personais 
Ativos Mês]]+(Table1537[[#This Row],[Personais 
Ativos Mês]]*Table1537[[#This Row],[Média Alunos Estimada 
Total Personal]])</f>
        <v>0</v>
      </c>
      <c r="V23" s="71">
        <v>0</v>
      </c>
      <c r="W23" s="71">
        <v>0</v>
      </c>
      <c r="X23" s="72">
        <f>Table1537[[#This Row],[Média Alunos Estimada 
Total Personal]]-(Table1537[[#This Row],[Tx. % Real Alunos 
não ativados]]*Table1537[[#This Row],[Média Alunos Estimada 
Total Personal]])</f>
        <v>9.75</v>
      </c>
      <c r="Y23" s="66">
        <v>0.35</v>
      </c>
      <c r="Z23" s="14" t="e">
        <f>AB23/Q23</f>
        <v>#DIV/0!</v>
      </c>
      <c r="AA23" s="62">
        <f>Table1537[[#This Row],[Média Real Alunos 
Ativos Personal]]*Table1537[[#This Row],[Personais 
Ativos Mês]]</f>
        <v>0</v>
      </c>
      <c r="AB23" s="14">
        <v>0</v>
      </c>
      <c r="AC23" s="14">
        <v>0</v>
      </c>
      <c r="AD23" s="14">
        <f>Table1537[[#This Row],[Faturamento 
Real Bruto]]</f>
        <v>0</v>
      </c>
      <c r="AE23" s="14">
        <v>0</v>
      </c>
      <c r="AF23" s="14">
        <f>Table1537[[#This Row],[Investimento no Mês 
(Growth) // 15%]]</f>
        <v>4700.7389999999996</v>
      </c>
      <c r="AG23" s="73">
        <v>0</v>
      </c>
      <c r="AH23" s="74">
        <v>0</v>
      </c>
    </row>
    <row r="24" spans="1:34">
      <c r="A24" s="60">
        <v>46023</v>
      </c>
      <c r="B24" s="61">
        <f t="shared" ref="B24:B36" si="15">B65*0.15</f>
        <v>793.88549999999998</v>
      </c>
      <c r="C24" s="61">
        <f t="shared" ref="C24:C36" si="16">C65</f>
        <v>14</v>
      </c>
      <c r="D24" s="75">
        <v>1031</v>
      </c>
      <c r="E24" s="63">
        <f t="shared" si="10"/>
        <v>0.2</v>
      </c>
      <c r="F24" s="64">
        <f>Table1537[[#This Row],[Novos Cadastros 
LP]]*Table1537[[#This Row],[Tx. % Install]]</f>
        <v>206.20000000000002</v>
      </c>
      <c r="G24" s="63">
        <f t="shared" si="11"/>
        <v>0.5</v>
      </c>
      <c r="H24" s="64">
        <f>Table1537[[#This Row],[Novos Installs no App]]*Table1537[[#This Row],[Tx % Ativações]]</f>
        <v>103.10000000000001</v>
      </c>
      <c r="I24" s="63">
        <f t="shared" si="12"/>
        <v>0.3</v>
      </c>
      <c r="J24" s="64">
        <f t="shared" si="13"/>
        <v>0</v>
      </c>
      <c r="K24" s="63">
        <f t="shared" si="14"/>
        <v>0</v>
      </c>
      <c r="L24" s="62">
        <f>(Table1537[[#This Row],[Novos Personais Habilitados]]*Table1537[[#This Row],[Tx % de Conversão]])+(Table1537[[#This Row],[Cadastros Evento Presencial]]*Table1537[[#This Row],[Tx % Ativação Presencial]])</f>
        <v>30.93</v>
      </c>
      <c r="M24" s="62">
        <f>Table1537[[#This Row],[Novos Personais Ativados]]+M23</f>
        <v>30.93</v>
      </c>
      <c r="N24" s="65">
        <f>Table1537[[#This Row],[Investimento no Mês 
(Growth) // 15%]]/Table1537[[#This Row],[Novos Personais Ativados]]</f>
        <v>25.667167798254123</v>
      </c>
      <c r="O24" s="66">
        <v>0.02</v>
      </c>
      <c r="P24" s="67">
        <f>M23*Table1537[[#This Row],[Tx. % Churn]]</f>
        <v>0</v>
      </c>
      <c r="Q24" s="62">
        <f>Table1537[[#This Row],[Personais 
Totais]]-Table1537[[#This Row],[Qtde. Churn 
no Mês]]</f>
        <v>30.93</v>
      </c>
      <c r="R24" s="68">
        <v>15</v>
      </c>
      <c r="S24" s="61">
        <v>700</v>
      </c>
      <c r="T24" s="76">
        <f>Table1537[[#This Row],[Média Alunos Estimada 
Total Personal]]*Table1537[[#This Row],[Ticket Médio Aluno Personal]]</f>
        <v>10500</v>
      </c>
      <c r="U24" s="62">
        <f>Table1537[[#This Row],[Personais 
Ativos Mês]]+(Table1537[[#This Row],[Personais 
Ativos Mês]]*Table1537[[#This Row],[Média Alunos Estimada 
Total Personal]])</f>
        <v>494.88</v>
      </c>
      <c r="V24" s="77">
        <f>Table1537[[#This Row],[Média Faturamento
Estimada Personal]]*Q23</f>
        <v>0</v>
      </c>
      <c r="W24" s="77">
        <f>IF(Q24&lt;=1000, V24*5%, (T24*1000*5%) + ((Q24-1000)*T24*7.5%))</f>
        <v>0</v>
      </c>
      <c r="X24" s="72">
        <f>Table1537[[#This Row],[Média Alunos Estimada 
Total Personal]]-(Table1537[[#This Row],[Tx. % Real Alunos 
não ativados]]*Table1537[[#This Row],[Média Alunos Estimada 
Total Personal]])</f>
        <v>4.5</v>
      </c>
      <c r="Y24" s="66">
        <v>0.7</v>
      </c>
      <c r="Z24" s="14">
        <f>Table1537[[#This Row],[Ticket Médio Aluno Personal]]*Table1537[[#This Row],[Média Real Alunos 
Ativos Personal]]</f>
        <v>3150</v>
      </c>
      <c r="AA24" s="62">
        <f>Table1537[[#This Row],[Média Real Alunos 
Ativos Personal]]*Table1537[[#This Row],[Personais 
Ativos Mês]]</f>
        <v>139.185</v>
      </c>
      <c r="AB24" s="14">
        <f>Table1537[[#This Row],[Média Real por Personal]]*Q23</f>
        <v>0</v>
      </c>
      <c r="AC24" s="14">
        <f>IF(Q24&lt;=1000, AB24*5%, (Z24*1000*5%) + ((Q24-1000)*Z24*7.5%))</f>
        <v>0</v>
      </c>
      <c r="AD24" s="14">
        <f>Table1537[[#This Row],[Faturamento 
Real Bruto]]+AB23</f>
        <v>0</v>
      </c>
      <c r="AE24" s="14">
        <f>Table1537[[#This Row],[Receita MUVX 
(7,5% &gt;= 1000 Personais)]]+AC23</f>
        <v>0</v>
      </c>
      <c r="AF24" s="14">
        <f>Table1537[[#This Row],[Investimento no Mês 
(Growth) // 15%]]+AF23</f>
        <v>5494.6244999999999</v>
      </c>
      <c r="AG24" s="73">
        <f>Table1537[[#This Row],[Receita MUVX Acumulada]]/Table1537[[#This Row],[Investimento Acumulado]]</f>
        <v>0</v>
      </c>
      <c r="AH24" s="73">
        <f>Table1537[[#This Row],[ROI]]+AH23</f>
        <v>0</v>
      </c>
    </row>
    <row r="25" spans="1:34">
      <c r="A25" s="60">
        <v>46054</v>
      </c>
      <c r="B25" s="61">
        <f t="shared" si="15"/>
        <v>150</v>
      </c>
      <c r="C25" s="61">
        <f t="shared" si="16"/>
        <v>13.86</v>
      </c>
      <c r="D25" s="62">
        <f>Table1537[[#This Row],[Investimento no Mês 
(Growth) // 15%]]/Table1537[[#This Row],[CPL 
(cadastro)]]</f>
        <v>10.822510822510823</v>
      </c>
      <c r="E25" s="63">
        <f t="shared" si="10"/>
        <v>0.2</v>
      </c>
      <c r="F25" s="64">
        <f>Table1537[[#This Row],[Novos Cadastros 
LP]]*Table1537[[#This Row],[Tx. % Install]]</f>
        <v>2.1645021645021649</v>
      </c>
      <c r="G25" s="63">
        <f t="shared" si="11"/>
        <v>0.5</v>
      </c>
      <c r="H25" s="64">
        <f>Table1537[[#This Row],[Novos Installs no App]]*Table1537[[#This Row],[Tx % Ativações]]</f>
        <v>1.0822510822510825</v>
      </c>
      <c r="I25" s="63">
        <f t="shared" si="12"/>
        <v>0.3</v>
      </c>
      <c r="J25" s="64">
        <f t="shared" si="13"/>
        <v>0</v>
      </c>
      <c r="K25" s="63">
        <f t="shared" si="14"/>
        <v>0</v>
      </c>
      <c r="L25" s="62">
        <f>(Table1537[[#This Row],[Novos Personais Habilitados]]*Table1537[[#This Row],[Tx % de Conversão]])+(Table1537[[#This Row],[Cadastros Evento Presencial]]*Table1537[[#This Row],[Tx % Ativação Presencial]])</f>
        <v>0.32467532467532473</v>
      </c>
      <c r="M25" s="62">
        <f>Table1537[[#This Row],[Novos Personais Ativados]]+M24</f>
        <v>31.254675324675325</v>
      </c>
      <c r="N25" s="65">
        <f>Table1537[[#This Row],[Investimento no Mês 
(Growth) // 15%]]/Table1537[[#This Row],[Novos Personais Ativados]]</f>
        <v>461.99999999999994</v>
      </c>
      <c r="O25" s="66">
        <v>0.03</v>
      </c>
      <c r="P25" s="67">
        <f>M24*Table1537[[#This Row],[Tx. % Churn]]</f>
        <v>0.92789999999999995</v>
      </c>
      <c r="Q25" s="62">
        <f>Table1537[[#This Row],[Personais 
Totais]]-Table1537[[#This Row],[Qtde. Churn 
no Mês]]</f>
        <v>30.326775324675324</v>
      </c>
      <c r="R25" s="68">
        <v>15</v>
      </c>
      <c r="S25" s="61">
        <f>S24*1.005</f>
        <v>703.49999999999989</v>
      </c>
      <c r="T25" s="76">
        <f>Table1537[[#This Row],[Média Alunos Estimada 
Total Personal]]*Table1537[[#This Row],[Ticket Médio Aluno Personal]]</f>
        <v>10552.499999999998</v>
      </c>
      <c r="U25" s="62">
        <f>Table1537[[#This Row],[Personais 
Ativos Mês]]+(Table1537[[#This Row],[Personais 
Ativos Mês]]*Table1537[[#This Row],[Média Alunos Estimada 
Total Personal]])</f>
        <v>485.22840519480519</v>
      </c>
      <c r="V25" s="77">
        <f>Table1537[[#This Row],[Média Faturamento
Estimada Personal]]*Q24</f>
        <v>326388.82499999995</v>
      </c>
      <c r="W25" s="77">
        <f t="shared" ref="W25:W36" si="17">IF(Q25&lt;=1000, V25*5%, (T25*1000*5%) + ((Q25-1000)*T25*7.5%))</f>
        <v>16319.441249999998</v>
      </c>
      <c r="X25" s="72">
        <f>Table1537[[#This Row],[Média Alunos Estimada 
Total Personal]]-(Table1537[[#This Row],[Tx. % Real Alunos 
não ativados]]*Table1537[[#This Row],[Média Alunos Estimada 
Total Personal]])</f>
        <v>12.75</v>
      </c>
      <c r="Y25" s="66">
        <v>0.15</v>
      </c>
      <c r="Z25" s="14">
        <f>Table1537[[#This Row],[Ticket Médio Aluno Personal]]*Table1537[[#This Row],[Média Real Alunos 
Ativos Personal]]</f>
        <v>8969.6249999999982</v>
      </c>
      <c r="AA25" s="62">
        <f>Table1537[[#This Row],[Média Real Alunos 
Ativos Personal]]*Table1537[[#This Row],[Personais 
Ativos Mês]]</f>
        <v>386.66638538961041</v>
      </c>
      <c r="AB25" s="14">
        <f>Table1537[[#This Row],[Média Real por Personal]]*Q24</f>
        <v>277430.50124999991</v>
      </c>
      <c r="AC25" s="14">
        <f t="shared" ref="AC25:AC36" si="18">IF(Q25&lt;=1000, AB25*5%, (Z25*1000*5%) + ((Q25-1000)*Z25*7.5%))</f>
        <v>13871.525062499997</v>
      </c>
      <c r="AD25" s="14">
        <f>AD24+Table1537[[#This Row],[Faturamento 
Real Bruto]]</f>
        <v>277430.50124999991</v>
      </c>
      <c r="AE25" s="14">
        <f>AE24+Table1537[[#This Row],[Receita MUVX 
(7,5% &gt;= 1000 Personais)]]</f>
        <v>13871.525062499997</v>
      </c>
      <c r="AF25" s="14">
        <f>Table1537[[#This Row],[Investimento no Mês 
(Growth) // 15%]]+AF24</f>
        <v>5644.6244999999999</v>
      </c>
      <c r="AG25" s="73">
        <f>Table1537[[#This Row],[Receita MUVX Acumulada]]/Table1537[[#This Row],[Investimento Acumulado]]</f>
        <v>2.4574752603118237</v>
      </c>
      <c r="AH25" s="73">
        <f>Table1537[[#This Row],[ROI]]+AH24</f>
        <v>2.4574752603118237</v>
      </c>
    </row>
    <row r="26" spans="1:34">
      <c r="A26" s="78">
        <v>46082</v>
      </c>
      <c r="B26" s="61">
        <f t="shared" si="15"/>
        <v>150</v>
      </c>
      <c r="C26" s="61">
        <f t="shared" si="16"/>
        <v>13.721399999999999</v>
      </c>
      <c r="D26" s="62">
        <f>Table1537[[#This Row],[Investimento no Mês 
(Growth) // 15%]]/Table1537[[#This Row],[CPL 
(cadastro)]]</f>
        <v>10.931829113647296</v>
      </c>
      <c r="E26" s="63">
        <f t="shared" si="10"/>
        <v>0.2</v>
      </c>
      <c r="F26" s="64">
        <f>Table1537[[#This Row],[Novos Cadastros 
LP]]*Table1537[[#This Row],[Tx. % Install]]</f>
        <v>2.1863658227294596</v>
      </c>
      <c r="G26" s="63">
        <f t="shared" si="11"/>
        <v>0.5</v>
      </c>
      <c r="H26" s="64">
        <f>Table1537[[#This Row],[Novos Installs no App]]*Table1537[[#This Row],[Tx % Ativações]]</f>
        <v>1.0931829113647298</v>
      </c>
      <c r="I26" s="63">
        <f t="shared" si="12"/>
        <v>0.3</v>
      </c>
      <c r="J26" s="64">
        <f t="shared" si="13"/>
        <v>0</v>
      </c>
      <c r="K26" s="63">
        <f t="shared" si="14"/>
        <v>0</v>
      </c>
      <c r="L26" s="62">
        <f>(Table1537[[#This Row],[Novos Personais Habilitados]]*Table1537[[#This Row],[Tx % de Conversão]])+(Table1537[[#This Row],[Cadastros Evento Presencial]]*Table1537[[#This Row],[Tx % Ativação Presencial]])</f>
        <v>0.32795487340941892</v>
      </c>
      <c r="M26" s="62">
        <f>Table1537[[#This Row],[Novos Personais Ativados]]+M25</f>
        <v>31.582630198084743</v>
      </c>
      <c r="N26" s="65">
        <f>Table1537[[#This Row],[Investimento no Mês 
(Growth) // 15%]]/Table1537[[#This Row],[Novos Personais Ativados]]</f>
        <v>457.37999999999994</v>
      </c>
      <c r="O26" s="66">
        <v>0.02</v>
      </c>
      <c r="P26" s="67">
        <f>M25*Table1537[[#This Row],[Tx. % Churn]]</f>
        <v>0.62509350649350648</v>
      </c>
      <c r="Q26" s="62">
        <f>Table1537[[#This Row],[Personais 
Totais]]-Table1537[[#This Row],[Qtde. Churn 
no Mês]]</f>
        <v>30.957536691591237</v>
      </c>
      <c r="R26" s="68">
        <v>15</v>
      </c>
      <c r="S26" s="61">
        <f t="shared" ref="S26:S36" si="19">S25*1.015</f>
        <v>714.05249999999978</v>
      </c>
      <c r="T26" s="76">
        <f>Table1537[[#This Row],[Média Alunos Estimada 
Total Personal]]*Table1537[[#This Row],[Ticket Médio Aluno Personal]]</f>
        <v>10710.787499999997</v>
      </c>
      <c r="U26" s="62">
        <f>Table1537[[#This Row],[Personais 
Ativos Mês]]+(Table1537[[#This Row],[Personais 
Ativos Mês]]*Table1537[[#This Row],[Média Alunos Estimada 
Total Personal]])</f>
        <v>495.32058706545979</v>
      </c>
      <c r="V26" s="77">
        <f>Table1537[[#This Row],[Média Faturamento
Estimada Personal]]*Q25</f>
        <v>324823.64606284082</v>
      </c>
      <c r="W26" s="77">
        <f t="shared" si="17"/>
        <v>16241.182303142043</v>
      </c>
      <c r="X26" s="72">
        <f>Table1537[[#This Row],[Média Alunos Estimada 
Total Personal]]-(Table1537[[#This Row],[Tx. % Real Alunos 
não ativados]]*Table1537[[#This Row],[Média Alunos Estimada 
Total Personal]])</f>
        <v>12.75</v>
      </c>
      <c r="Y26" s="66">
        <v>0.15</v>
      </c>
      <c r="Z26" s="14">
        <f>Table1537[[#This Row],[Ticket Médio Aluno Personal]]*Table1537[[#This Row],[Média Real Alunos 
Ativos Personal]]</f>
        <v>9104.1693749999977</v>
      </c>
      <c r="AA26" s="62">
        <f>Table1537[[#This Row],[Média Real Alunos 
Ativos Personal]]*Table1537[[#This Row],[Personais 
Ativos Mês]]</f>
        <v>394.70859281778826</v>
      </c>
      <c r="AB26" s="14">
        <f>Table1537[[#This Row],[Média Real por Personal]]*Q25</f>
        <v>276100.09915341472</v>
      </c>
      <c r="AC26" s="14">
        <f t="shared" si="18"/>
        <v>13805.004957670737</v>
      </c>
      <c r="AD26" s="14">
        <f>AD25+Table1537[[#This Row],[Faturamento 
Real Bruto]]</f>
        <v>553530.60040341457</v>
      </c>
      <c r="AE26" s="14">
        <f>AE25+Table1537[[#This Row],[Receita MUVX 
(7,5% &gt;= 1000 Personais)]]</f>
        <v>27676.530020170736</v>
      </c>
      <c r="AF26" s="14">
        <f>Table1537[[#This Row],[Investimento no Mês 
(Growth) // 15%]]+AF25</f>
        <v>5794.6244999999999</v>
      </c>
      <c r="AG26" s="73">
        <f>Table1537[[#This Row],[Receita MUVX Acumulada]]/Table1537[[#This Row],[Investimento Acumulado]]</f>
        <v>4.7762421913914759</v>
      </c>
      <c r="AH26" s="73">
        <f>Table1537[[#This Row],[ROI]]+AH25</f>
        <v>7.2337174517032992</v>
      </c>
    </row>
    <row r="27" spans="1:34">
      <c r="A27" s="60">
        <v>46113</v>
      </c>
      <c r="B27" s="61">
        <f t="shared" si="15"/>
        <v>750</v>
      </c>
      <c r="C27" s="61">
        <f t="shared" si="16"/>
        <v>13.584185999999999</v>
      </c>
      <c r="D27" s="62">
        <f>Table1537[[#This Row],[Investimento no Mês 
(Growth) // 15%]]/Table1537[[#This Row],[CPL 
(cadastro)]]</f>
        <v>55.211258149733823</v>
      </c>
      <c r="E27" s="63">
        <f t="shared" si="10"/>
        <v>0.2</v>
      </c>
      <c r="F27" s="64">
        <f>Table1537[[#This Row],[Novos Cadastros 
LP]]*Table1537[[#This Row],[Tx. % Install]]</f>
        <v>11.042251629946765</v>
      </c>
      <c r="G27" s="63">
        <f t="shared" si="11"/>
        <v>0.6</v>
      </c>
      <c r="H27" s="64">
        <f>Table1537[[#This Row],[Novos Installs no App]]*Table1537[[#This Row],[Tx % Ativações]]</f>
        <v>6.6253509779680586</v>
      </c>
      <c r="I27" s="63">
        <f t="shared" si="12"/>
        <v>0.3</v>
      </c>
      <c r="J27" s="64">
        <f t="shared" si="13"/>
        <v>0</v>
      </c>
      <c r="K27" s="63">
        <f t="shared" si="14"/>
        <v>0</v>
      </c>
      <c r="L27" s="62">
        <f>(Table1537[[#This Row],[Novos Personais Habilitados]]*Table1537[[#This Row],[Tx % de Conversão]])+(Table1537[[#This Row],[Cadastros Evento Presencial]]*Table1537[[#This Row],[Tx % Ativação Presencial]])</f>
        <v>1.9876052933904176</v>
      </c>
      <c r="M27" s="62">
        <f>Table1537[[#This Row],[Novos Personais Ativados]]+M26</f>
        <v>33.57023549147516</v>
      </c>
      <c r="N27" s="65">
        <f>Table1537[[#This Row],[Investimento no Mês 
(Growth) // 15%]]/Table1537[[#This Row],[Novos Personais Ativados]]</f>
        <v>377.33849999999995</v>
      </c>
      <c r="O27" s="66">
        <v>0.02</v>
      </c>
      <c r="P27" s="67">
        <f>M26*Table1537[[#This Row],[Tx. % Churn]]</f>
        <v>0.63165260396169487</v>
      </c>
      <c r="Q27" s="62">
        <f>Table1537[[#This Row],[Personais 
Totais]]-Table1537[[#This Row],[Qtde. Churn 
no Mês]]</f>
        <v>32.938582887513462</v>
      </c>
      <c r="R27" s="68">
        <v>15</v>
      </c>
      <c r="S27" s="61">
        <f t="shared" si="19"/>
        <v>724.76328749999971</v>
      </c>
      <c r="T27" s="76">
        <f>Table1537[[#This Row],[Média Alunos Estimada 
Total Personal]]*Table1537[[#This Row],[Ticket Médio Aluno Personal]]</f>
        <v>10871.449312499995</v>
      </c>
      <c r="U27" s="62">
        <f>Table1537[[#This Row],[Personais 
Ativos Mês]]+(Table1537[[#This Row],[Personais 
Ativos Mês]]*Table1537[[#This Row],[Média Alunos Estimada 
Total Personal]])</f>
        <v>527.01732620021539</v>
      </c>
      <c r="V27" s="77">
        <f>Table1537[[#This Row],[Média Faturamento
Estimada Personal]]*Q26</f>
        <v>336553.29098249291</v>
      </c>
      <c r="W27" s="77">
        <f t="shared" si="17"/>
        <v>16827.664549124645</v>
      </c>
      <c r="X27" s="72">
        <f>Table1537[[#This Row],[Média Alunos Estimada 
Total Personal]]-(Table1537[[#This Row],[Tx. % Real Alunos 
não ativados]]*Table1537[[#This Row],[Média Alunos Estimada 
Total Personal]])</f>
        <v>12.75</v>
      </c>
      <c r="Y27" s="66">
        <v>0.15</v>
      </c>
      <c r="Z27" s="14">
        <f>Table1537[[#This Row],[Ticket Médio Aluno Personal]]*Table1537[[#This Row],[Média Real Alunos 
Ativos Personal]]</f>
        <v>9240.731915624996</v>
      </c>
      <c r="AA27" s="62">
        <f>Table1537[[#This Row],[Média Real Alunos 
Ativos Personal]]*Table1537[[#This Row],[Personais 
Ativos Mês]]</f>
        <v>419.96693181579667</v>
      </c>
      <c r="AB27" s="14">
        <f>Table1537[[#This Row],[Média Real por Personal]]*Q26</f>
        <v>286070.29733511899</v>
      </c>
      <c r="AC27" s="14">
        <f t="shared" si="18"/>
        <v>14303.51486675595</v>
      </c>
      <c r="AD27" s="14">
        <f>AD26+Table1537[[#This Row],[Faturamento 
Real Bruto]]</f>
        <v>839600.89773853356</v>
      </c>
      <c r="AE27" s="14">
        <f>AE26+Table1537[[#This Row],[Receita MUVX 
(7,5% &gt;= 1000 Personais)]]</f>
        <v>41980.044886926684</v>
      </c>
      <c r="AF27" s="14">
        <f>Table1537[[#This Row],[Investimento no Mês 
(Growth) // 15%]]+AF26</f>
        <v>6544.6244999999999</v>
      </c>
      <c r="AG27" s="73">
        <f>Table1537[[#This Row],[Receita MUVX Acumulada]]/Table1537[[#This Row],[Investimento Acumulado]]</f>
        <v>6.4144313989177961</v>
      </c>
      <c r="AH27" s="73">
        <f>Table1537[[#This Row],[ROI]]+AH26</f>
        <v>13.648148850621094</v>
      </c>
    </row>
    <row r="28" spans="1:34">
      <c r="A28" s="78">
        <v>46143</v>
      </c>
      <c r="B28" s="61">
        <f t="shared" si="15"/>
        <v>4500</v>
      </c>
      <c r="C28" s="61">
        <f t="shared" si="16"/>
        <v>13.44834414</v>
      </c>
      <c r="D28" s="62">
        <f>Table1537[[#This Row],[Investimento no Mês 
(Growth) // 15%]]/Table1537[[#This Row],[CPL 
(cadastro)]]</f>
        <v>334.61368575596254</v>
      </c>
      <c r="E28" s="63">
        <v>0.3</v>
      </c>
      <c r="F28" s="64">
        <f>Table1537[[#This Row],[Novos Cadastros 
LP]]*Table1537[[#This Row],[Tx. % Install]]</f>
        <v>100.38410572678876</v>
      </c>
      <c r="G28" s="63">
        <f t="shared" si="11"/>
        <v>0.6</v>
      </c>
      <c r="H28" s="64">
        <f>Table1537[[#This Row],[Novos Installs no App]]*Table1537[[#This Row],[Tx % Ativações]]</f>
        <v>60.230463436073251</v>
      </c>
      <c r="I28" s="63">
        <f t="shared" si="12"/>
        <v>0.3</v>
      </c>
      <c r="J28" s="64">
        <f t="shared" si="13"/>
        <v>0</v>
      </c>
      <c r="K28" s="63">
        <f t="shared" si="14"/>
        <v>0</v>
      </c>
      <c r="L28" s="62">
        <f>(Table1537[[#This Row],[Novos Personais Habilitados]]*Table1537[[#This Row],[Tx % de Conversão]])+(Table1537[[#This Row],[Cadastros Evento Presencial]]*Table1537[[#This Row],[Tx % Ativação Presencial]])</f>
        <v>18.069139030821976</v>
      </c>
      <c r="M28" s="62">
        <f>Table1537[[#This Row],[Novos Personais Ativados]]+M27</f>
        <v>51.639374522297132</v>
      </c>
      <c r="N28" s="65">
        <f>Table1537[[#This Row],[Investimento no Mês 
(Growth) // 15%]]/Table1537[[#This Row],[Novos Personais Ativados]]</f>
        <v>249.04340999999999</v>
      </c>
      <c r="O28" s="66">
        <v>0.04</v>
      </c>
      <c r="P28" s="67">
        <f>M27*Table1537[[#This Row],[Tx. % Churn]]</f>
        <v>1.3428094196590064</v>
      </c>
      <c r="Q28" s="62">
        <f>Table1537[[#This Row],[Personais 
Totais]]-Table1537[[#This Row],[Qtde. Churn 
no Mês]]</f>
        <v>50.296565102638127</v>
      </c>
      <c r="R28" s="68">
        <v>15</v>
      </c>
      <c r="S28" s="61">
        <f t="shared" si="19"/>
        <v>735.63473681249968</v>
      </c>
      <c r="T28" s="76">
        <f>Table1537[[#This Row],[Média Alunos Estimada 
Total Personal]]*Table1537[[#This Row],[Ticket Médio Aluno Personal]]</f>
        <v>11034.521052187496</v>
      </c>
      <c r="U28" s="62">
        <f>Table1537[[#This Row],[Personais 
Ativos Mês]]+(Table1537[[#This Row],[Personais 
Ativos Mês]]*Table1537[[#This Row],[Média Alunos Estimada 
Total Personal]])</f>
        <v>804.74504164221003</v>
      </c>
      <c r="V28" s="77">
        <f>Table1537[[#This Row],[Média Faturamento
Estimada Personal]]*Q27</f>
        <v>363461.48630149011</v>
      </c>
      <c r="W28" s="77">
        <f t="shared" si="17"/>
        <v>18173.074315074507</v>
      </c>
      <c r="X28" s="72">
        <f>Table1537[[#This Row],[Média Alunos Estimada 
Total Personal]]-(Table1537[[#This Row],[Tx. % Real Alunos 
não ativados]]*Table1537[[#This Row],[Média Alunos Estimada 
Total Personal]])</f>
        <v>12.75</v>
      </c>
      <c r="Y28" s="66">
        <v>0.15</v>
      </c>
      <c r="Z28" s="14">
        <f>Table1537[[#This Row],[Ticket Médio Aluno Personal]]*Table1537[[#This Row],[Média Real Alunos 
Ativos Personal]]</f>
        <v>9379.3428943593717</v>
      </c>
      <c r="AA28" s="62">
        <f>Table1537[[#This Row],[Média Real Alunos 
Ativos Personal]]*Table1537[[#This Row],[Personais 
Ativos Mês]]</f>
        <v>641.28120505863615</v>
      </c>
      <c r="AB28" s="14">
        <f>Table1537[[#This Row],[Média Real por Personal]]*Q27</f>
        <v>308942.2633562666</v>
      </c>
      <c r="AC28" s="14">
        <f t="shared" si="18"/>
        <v>15447.113167813332</v>
      </c>
      <c r="AD28" s="14">
        <f>AD27+Table1537[[#This Row],[Faturamento 
Real Bruto]]</f>
        <v>1148543.1610948001</v>
      </c>
      <c r="AE28" s="14">
        <f>AE27+Table1537[[#This Row],[Receita MUVX 
(7,5% &gt;= 1000 Personais)]]</f>
        <v>57427.158054740015</v>
      </c>
      <c r="AF28" s="14">
        <f>Table1537[[#This Row],[Investimento no Mês 
(Growth) // 15%]]+AF27</f>
        <v>11044.6245</v>
      </c>
      <c r="AG28" s="73">
        <f>Table1537[[#This Row],[Receita MUVX Acumulada]]/Table1537[[#This Row],[Investimento Acumulado]]</f>
        <v>5.1995573099601549</v>
      </c>
      <c r="AH28" s="73">
        <f>Table1537[[#This Row],[ROI]]+AH27</f>
        <v>18.84770616058125</v>
      </c>
    </row>
    <row r="29" spans="1:34">
      <c r="A29" s="60">
        <v>46174</v>
      </c>
      <c r="B29" s="61">
        <f t="shared" si="15"/>
        <v>15000</v>
      </c>
      <c r="C29" s="61">
        <f t="shared" si="16"/>
        <v>13.313860698599999</v>
      </c>
      <c r="D29" s="62">
        <f>Table1537[[#This Row],[Investimento no Mês 
(Growth) // 15%]]/Table1537[[#This Row],[CPL 
(cadastro)]]</f>
        <v>1126.6454065857324</v>
      </c>
      <c r="E29" s="63">
        <f t="shared" si="10"/>
        <v>0.3</v>
      </c>
      <c r="F29" s="64">
        <f>Table1537[[#This Row],[Novos Cadastros 
LP]]*Table1537[[#This Row],[Tx. % Install]]</f>
        <v>337.99362197571969</v>
      </c>
      <c r="G29" s="63">
        <f t="shared" si="11"/>
        <v>0.6</v>
      </c>
      <c r="H29" s="64">
        <f>Table1537[[#This Row],[Novos Installs no App]]*Table1537[[#This Row],[Tx % Ativações]]</f>
        <v>202.7961731854318</v>
      </c>
      <c r="I29" s="63">
        <f t="shared" si="12"/>
        <v>0.3</v>
      </c>
      <c r="J29" s="64">
        <f t="shared" si="13"/>
        <v>0</v>
      </c>
      <c r="K29" s="63">
        <f t="shared" si="14"/>
        <v>0.2</v>
      </c>
      <c r="L29" s="62">
        <f>(Table1537[[#This Row],[Novos Personais Habilitados]]*Table1537[[#This Row],[Tx % de Conversão]])+(Table1537[[#This Row],[Cadastros Evento Presencial]]*Table1537[[#This Row],[Tx % Ativação Presencial]])</f>
        <v>60.838851955629536</v>
      </c>
      <c r="M29" s="62">
        <f>Table1537[[#This Row],[Novos Personais Ativados]]+M28</f>
        <v>112.47822647792667</v>
      </c>
      <c r="N29" s="65">
        <f>Table1537[[#This Row],[Investimento no Mês 
(Growth) // 15%]]/Table1537[[#This Row],[Novos Personais Ativados]]</f>
        <v>246.55297590000006</v>
      </c>
      <c r="O29" s="66">
        <v>0.02</v>
      </c>
      <c r="P29" s="67">
        <f>M28*Table1537[[#This Row],[Tx. % Churn]]</f>
        <v>1.0327874904459426</v>
      </c>
      <c r="Q29" s="62">
        <f>Table1537[[#This Row],[Personais 
Totais]]-Table1537[[#This Row],[Qtde. Churn 
no Mês]]</f>
        <v>111.44543898748073</v>
      </c>
      <c r="R29" s="68">
        <v>15</v>
      </c>
      <c r="S29" s="61">
        <f t="shared" si="19"/>
        <v>746.6692578646871</v>
      </c>
      <c r="T29" s="76">
        <f>Table1537[[#This Row],[Média Alunos Estimada 
Total Personal]]*Table1537[[#This Row],[Ticket Médio Aluno Personal]]</f>
        <v>11200.038867970306</v>
      </c>
      <c r="U29" s="62">
        <f>Table1537[[#This Row],[Personais 
Ativos Mês]]+(Table1537[[#This Row],[Personais 
Ativos Mês]]*Table1537[[#This Row],[Média Alunos Estimada 
Total Personal]])</f>
        <v>1783.1270237996916</v>
      </c>
      <c r="V29" s="77">
        <f>Table1537[[#This Row],[Média Faturamento
Estimada Personal]]*Q28</f>
        <v>563323.48407494591</v>
      </c>
      <c r="W29" s="77">
        <f t="shared" si="17"/>
        <v>28166.174203747298</v>
      </c>
      <c r="X29" s="72">
        <f>Table1537[[#This Row],[Média Alunos Estimada 
Total Personal]]-(Table1537[[#This Row],[Tx. % Real Alunos 
não ativados]]*Table1537[[#This Row],[Média Alunos Estimada 
Total Personal]])</f>
        <v>12.75</v>
      </c>
      <c r="Y29" s="66">
        <v>0.15</v>
      </c>
      <c r="Z29" s="14">
        <f>Table1537[[#This Row],[Ticket Médio Aluno Personal]]*Table1537[[#This Row],[Média Real Alunos 
Ativos Personal]]</f>
        <v>9520.0330377747596</v>
      </c>
      <c r="AA29" s="62">
        <f>Table1537[[#This Row],[Média Real Alunos 
Ativos Personal]]*Table1537[[#This Row],[Personais 
Ativos Mês]]</f>
        <v>1420.9293470903792</v>
      </c>
      <c r="AB29" s="14">
        <f>Table1537[[#This Row],[Média Real por Personal]]*Q28</f>
        <v>478824.96146370401</v>
      </c>
      <c r="AC29" s="14">
        <f t="shared" si="18"/>
        <v>23941.248073185201</v>
      </c>
      <c r="AD29" s="14">
        <f>AD28+Table1537[[#This Row],[Faturamento 
Real Bruto]]</f>
        <v>1627368.1225585041</v>
      </c>
      <c r="AE29" s="14">
        <f>AE28+Table1537[[#This Row],[Receita MUVX 
(7,5% &gt;= 1000 Personais)]]</f>
        <v>81368.40612792522</v>
      </c>
      <c r="AF29" s="14">
        <f>Table1537[[#This Row],[Investimento no Mês 
(Growth) // 15%]]+AF28</f>
        <v>26044.624499999998</v>
      </c>
      <c r="AG29" s="73">
        <f>Table1537[[#This Row],[Receita MUVX Acumulada]]/Table1537[[#This Row],[Investimento Acumulado]]</f>
        <v>3.1241919470916244</v>
      </c>
      <c r="AH29" s="73">
        <f>Table1537[[#This Row],[ROI]]+AH28</f>
        <v>21.971898107672875</v>
      </c>
    </row>
    <row r="30" spans="1:34">
      <c r="A30" s="78">
        <v>46204</v>
      </c>
      <c r="B30" s="61">
        <f t="shared" si="15"/>
        <v>15000</v>
      </c>
      <c r="C30" s="61">
        <f t="shared" si="16"/>
        <v>13.180722091613999</v>
      </c>
      <c r="D30" s="62">
        <f>Table1537[[#This Row],[Investimento no Mês 
(Growth) // 15%]]/Table1537[[#This Row],[CPL 
(cadastro)]]</f>
        <v>1138.0256632179116</v>
      </c>
      <c r="E30" s="63">
        <f t="shared" si="10"/>
        <v>0.3</v>
      </c>
      <c r="F30" s="64">
        <f>Table1537[[#This Row],[Novos Cadastros 
LP]]*Table1537[[#This Row],[Tx. % Install]]</f>
        <v>341.40769896537347</v>
      </c>
      <c r="G30" s="63">
        <f t="shared" si="11"/>
        <v>0.6</v>
      </c>
      <c r="H30" s="64">
        <f>Table1537[[#This Row],[Novos Installs no App]]*Table1537[[#This Row],[Tx % Ativações]]</f>
        <v>204.84461937922407</v>
      </c>
      <c r="I30" s="63">
        <f t="shared" si="12"/>
        <v>0.3</v>
      </c>
      <c r="J30" s="64">
        <f t="shared" si="13"/>
        <v>0</v>
      </c>
      <c r="K30" s="63">
        <f t="shared" si="14"/>
        <v>0</v>
      </c>
      <c r="L30" s="62">
        <f>(Table1537[[#This Row],[Novos Personais Habilitados]]*Table1537[[#This Row],[Tx % de Conversão]])+(Table1537[[#This Row],[Cadastros Evento Presencial]]*Table1537[[#This Row],[Tx % Ativação Presencial]])</f>
        <v>61.45338581376722</v>
      </c>
      <c r="M30" s="62">
        <f>Table1537[[#This Row],[Novos Personais Ativados]]+M29</f>
        <v>173.93161229169388</v>
      </c>
      <c r="N30" s="65">
        <f>Table1537[[#This Row],[Investimento no Mês 
(Growth) // 15%]]/Table1537[[#This Row],[Novos Personais Ativados]]</f>
        <v>244.08744614100002</v>
      </c>
      <c r="O30" s="66">
        <v>0.02</v>
      </c>
      <c r="P30" s="67">
        <f>M29*Table1537[[#This Row],[Tx. % Churn]]</f>
        <v>2.2495645295585334</v>
      </c>
      <c r="Q30" s="62">
        <f>Table1537[[#This Row],[Personais 
Totais]]-Table1537[[#This Row],[Qtde. Churn 
no Mês]]</f>
        <v>171.68204776213534</v>
      </c>
      <c r="R30" s="68">
        <v>15</v>
      </c>
      <c r="S30" s="61">
        <f t="shared" si="19"/>
        <v>757.86929673265729</v>
      </c>
      <c r="T30" s="76">
        <f>Table1537[[#This Row],[Média Alunos Estimada 
Total Personal]]*Table1537[[#This Row],[Ticket Médio Aluno Personal]]</f>
        <v>11368.03945098986</v>
      </c>
      <c r="U30" s="62">
        <f>Table1537[[#This Row],[Personais 
Ativos Mês]]+(Table1537[[#This Row],[Personais 
Ativos Mês]]*Table1537[[#This Row],[Média Alunos Estimada 
Total Personal]])</f>
        <v>2746.9127641941654</v>
      </c>
      <c r="V30" s="77">
        <f>Table1537[[#This Row],[Média Faturamento
Estimada Personal]]*Q29</f>
        <v>1266916.1470425643</v>
      </c>
      <c r="W30" s="77">
        <f t="shared" si="17"/>
        <v>63345.80735212822</v>
      </c>
      <c r="X30" s="72">
        <f>Table1537[[#This Row],[Média Alunos Estimada 
Total Personal]]-(Table1537[[#This Row],[Tx. % Real Alunos 
não ativados]]*Table1537[[#This Row],[Média Alunos Estimada 
Total Personal]])</f>
        <v>12.75</v>
      </c>
      <c r="Y30" s="66">
        <v>0.15</v>
      </c>
      <c r="Z30" s="14">
        <f>Table1537[[#This Row],[Ticket Médio Aluno Personal]]*Table1537[[#This Row],[Média Real Alunos 
Ativos Personal]]</f>
        <v>9662.8335333413797</v>
      </c>
      <c r="AA30" s="62">
        <f>Table1537[[#This Row],[Média Real Alunos 
Ativos Personal]]*Table1537[[#This Row],[Personais 
Ativos Mês]]</f>
        <v>2188.9461089672254</v>
      </c>
      <c r="AB30" s="14">
        <f>Table1537[[#This Row],[Média Real por Personal]]*Q29</f>
        <v>1076878.7249861795</v>
      </c>
      <c r="AC30" s="14">
        <f t="shared" si="18"/>
        <v>53843.936249308979</v>
      </c>
      <c r="AD30" s="14">
        <f>AD29+Table1537[[#This Row],[Faturamento 
Real Bruto]]</f>
        <v>2704246.8475446836</v>
      </c>
      <c r="AE30" s="14">
        <f>AE29+Table1537[[#This Row],[Receita MUVX 
(7,5% &gt;= 1000 Personais)]]</f>
        <v>135212.34237723419</v>
      </c>
      <c r="AF30" s="14">
        <f>Table1537[[#This Row],[Investimento no Mês 
(Growth) // 15%]]+AF29</f>
        <v>41044.624499999998</v>
      </c>
      <c r="AG30" s="73">
        <f>Table1537[[#This Row],[Receita MUVX Acumulada]]/Table1537[[#This Row],[Investimento Acumulado]]</f>
        <v>3.2942765106118634</v>
      </c>
      <c r="AH30" s="73">
        <f>Table1537[[#This Row],[ROI]]+AH29</f>
        <v>25.266174618284737</v>
      </c>
    </row>
    <row r="31" spans="1:34">
      <c r="A31" s="60">
        <v>46235</v>
      </c>
      <c r="B31" s="61">
        <f t="shared" si="15"/>
        <v>15000</v>
      </c>
      <c r="C31" s="61">
        <f t="shared" si="16"/>
        <v>13.048914870697859</v>
      </c>
      <c r="D31" s="62">
        <f>Table1537[[#This Row],[Investimento no Mês 
(Growth) // 15%]]/Table1537[[#This Row],[CPL 
(cadastro)]]</f>
        <v>1149.5208719372845</v>
      </c>
      <c r="E31" s="63">
        <f t="shared" si="10"/>
        <v>0.3</v>
      </c>
      <c r="F31" s="64">
        <f>Table1537[[#This Row],[Novos Cadastros 
LP]]*Table1537[[#This Row],[Tx. % Install]]</f>
        <v>344.85626158118532</v>
      </c>
      <c r="G31" s="63">
        <f t="shared" si="11"/>
        <v>0.6</v>
      </c>
      <c r="H31" s="64">
        <f>Table1537[[#This Row],[Novos Installs no App]]*Table1537[[#This Row],[Tx % Ativações]]</f>
        <v>206.91375694871118</v>
      </c>
      <c r="I31" s="63">
        <f t="shared" si="12"/>
        <v>0.3</v>
      </c>
      <c r="J31" s="64">
        <f t="shared" si="13"/>
        <v>0</v>
      </c>
      <c r="K31" s="63">
        <f t="shared" si="14"/>
        <v>0</v>
      </c>
      <c r="L31" s="62">
        <f>(Table1537[[#This Row],[Novos Personais Habilitados]]*Table1537[[#This Row],[Tx % de Conversão]])+(Table1537[[#This Row],[Cadastros Evento Presencial]]*Table1537[[#This Row],[Tx % Ativação Presencial]])</f>
        <v>62.074127084613352</v>
      </c>
      <c r="M31" s="62">
        <f>Table1537[[#This Row],[Novos Personais Ativados]]+M30</f>
        <v>236.00573937630725</v>
      </c>
      <c r="N31" s="65">
        <f>Table1537[[#This Row],[Investimento no Mês 
(Growth) // 15%]]/Table1537[[#This Row],[Novos Personais Ativados]]</f>
        <v>241.64657167959001</v>
      </c>
      <c r="O31" s="66">
        <v>0.02</v>
      </c>
      <c r="P31" s="67">
        <f>M30*Table1537[[#This Row],[Tx. % Churn]]</f>
        <v>3.4786322458338779</v>
      </c>
      <c r="Q31" s="62">
        <f>Table1537[[#This Row],[Personais 
Totais]]-Table1537[[#This Row],[Qtde. Churn 
no Mês]]</f>
        <v>232.52710713047338</v>
      </c>
      <c r="R31" s="68">
        <v>15</v>
      </c>
      <c r="S31" s="61">
        <f t="shared" si="19"/>
        <v>769.23733618364713</v>
      </c>
      <c r="T31" s="76">
        <f>Table1537[[#This Row],[Média Alunos Estimada 
Total Personal]]*Table1537[[#This Row],[Ticket Médio Aluno Personal]]</f>
        <v>11538.560042754707</v>
      </c>
      <c r="U31" s="62">
        <f>Table1537[[#This Row],[Personais 
Ativos Mês]]+(Table1537[[#This Row],[Personais 
Ativos Mês]]*Table1537[[#This Row],[Média Alunos Estimada 
Total Personal]])</f>
        <v>3720.4337140875741</v>
      </c>
      <c r="V31" s="77">
        <f>Table1537[[#This Row],[Média Faturamento
Estimada Personal]]*Q30</f>
        <v>1980963.61636648</v>
      </c>
      <c r="W31" s="77">
        <f t="shared" si="17"/>
        <v>99048.180818324006</v>
      </c>
      <c r="X31" s="72">
        <f>Table1537[[#This Row],[Média Alunos Estimada 
Total Personal]]-(Table1537[[#This Row],[Tx. % Real Alunos 
não ativados]]*Table1537[[#This Row],[Média Alunos Estimada 
Total Personal]])</f>
        <v>12.75</v>
      </c>
      <c r="Y31" s="66">
        <v>0.15</v>
      </c>
      <c r="Z31" s="14">
        <f>Table1537[[#This Row],[Ticket Médio Aluno Personal]]*Table1537[[#This Row],[Média Real Alunos 
Ativos Personal]]</f>
        <v>9807.7760363415</v>
      </c>
      <c r="AA31" s="62">
        <f>Table1537[[#This Row],[Média Real Alunos 
Ativos Personal]]*Table1537[[#This Row],[Personais 
Ativos Mês]]</f>
        <v>2964.7206159135358</v>
      </c>
      <c r="AB31" s="14">
        <f>Table1537[[#This Row],[Média Real por Personal]]*Q30</f>
        <v>1683819.0739115078</v>
      </c>
      <c r="AC31" s="14">
        <f t="shared" si="18"/>
        <v>84190.953695575401</v>
      </c>
      <c r="AD31" s="14">
        <f>AD30+Table1537[[#This Row],[Faturamento 
Real Bruto]]</f>
        <v>4388065.9214561917</v>
      </c>
      <c r="AE31" s="14">
        <f>AE30+Table1537[[#This Row],[Receita MUVX 
(7,5% &gt;= 1000 Personais)]]</f>
        <v>219403.29607280961</v>
      </c>
      <c r="AF31" s="14">
        <f>Table1537[[#This Row],[Investimento no Mês 
(Growth) // 15%]]+AF30</f>
        <v>56044.624499999998</v>
      </c>
      <c r="AG31" s="73">
        <f>Table1537[[#This Row],[Receita MUVX Acumulada]]/Table1537[[#This Row],[Investimento Acumulado]]</f>
        <v>3.9147964328462868</v>
      </c>
      <c r="AH31" s="73">
        <f>Table1537[[#This Row],[ROI]]+AH30</f>
        <v>29.180971051131024</v>
      </c>
    </row>
    <row r="32" spans="1:34">
      <c r="A32" s="78">
        <v>46266</v>
      </c>
      <c r="B32" s="61">
        <f t="shared" si="15"/>
        <v>15000</v>
      </c>
      <c r="C32" s="61">
        <f t="shared" si="16"/>
        <v>12.91842572199088</v>
      </c>
      <c r="D32" s="62">
        <f>Table1537[[#This Row],[Investimento no Mês 
(Growth) // 15%]]/Table1537[[#This Row],[CPL 
(cadastro)]]</f>
        <v>1161.1321938760448</v>
      </c>
      <c r="E32" s="63">
        <f t="shared" si="10"/>
        <v>0.3</v>
      </c>
      <c r="F32" s="64">
        <f>Table1537[[#This Row],[Novos Cadastros 
LP]]*Table1537[[#This Row],[Tx. % Install]]</f>
        <v>348.33965816281341</v>
      </c>
      <c r="G32" s="63">
        <f t="shared" si="11"/>
        <v>0.6</v>
      </c>
      <c r="H32" s="64">
        <f>Table1537[[#This Row],[Novos Installs no App]]*Table1537[[#This Row],[Tx % Ativações]]</f>
        <v>209.00379489768804</v>
      </c>
      <c r="I32" s="63">
        <f t="shared" si="12"/>
        <v>0.3</v>
      </c>
      <c r="J32" s="64">
        <f t="shared" si="13"/>
        <v>0</v>
      </c>
      <c r="K32" s="63">
        <f t="shared" si="14"/>
        <v>0</v>
      </c>
      <c r="L32" s="62">
        <f>(Table1537[[#This Row],[Novos Personais Habilitados]]*Table1537[[#This Row],[Tx % de Conversão]])+(Table1537[[#This Row],[Cadastros Evento Presencial]]*Table1537[[#This Row],[Tx % Ativação Presencial]])</f>
        <v>62.701138469306407</v>
      </c>
      <c r="M32" s="62">
        <f>Table1537[[#This Row],[Novos Personais Ativados]]+M31</f>
        <v>298.70687784561363</v>
      </c>
      <c r="N32" s="65">
        <f>Table1537[[#This Row],[Investimento no Mês 
(Growth) // 15%]]/Table1537[[#This Row],[Novos Personais Ativados]]</f>
        <v>239.23010596279414</v>
      </c>
      <c r="O32" s="66">
        <v>0.03</v>
      </c>
      <c r="P32" s="67">
        <f>M31*Table1537[[#This Row],[Tx. % Churn]]</f>
        <v>7.0801721812892175</v>
      </c>
      <c r="Q32" s="62">
        <f>Table1537[[#This Row],[Personais 
Totais]]-Table1537[[#This Row],[Qtde. Churn 
no Mês]]</f>
        <v>291.62670566432439</v>
      </c>
      <c r="R32" s="68">
        <v>15</v>
      </c>
      <c r="S32" s="61">
        <f t="shared" si="19"/>
        <v>780.77589622640176</v>
      </c>
      <c r="T32" s="76">
        <f>Table1537[[#This Row],[Média Alunos Estimada 
Total Personal]]*Table1537[[#This Row],[Ticket Médio Aluno Personal]]</f>
        <v>11711.638443396027</v>
      </c>
      <c r="U32" s="62">
        <f>Table1537[[#This Row],[Personais 
Ativos Mês]]+(Table1537[[#This Row],[Personais 
Ativos Mês]]*Table1537[[#This Row],[Média Alunos Estimada 
Total Personal]])</f>
        <v>4666.0272906291902</v>
      </c>
      <c r="V32" s="77">
        <f>Table1537[[#This Row],[Média Faturamento
Estimada Personal]]*Q31</f>
        <v>2723273.4070009184</v>
      </c>
      <c r="W32" s="77">
        <f t="shared" si="17"/>
        <v>136163.67035004593</v>
      </c>
      <c r="X32" s="72">
        <f>Table1537[[#This Row],[Média Alunos Estimada 
Total Personal]]-(Table1537[[#This Row],[Tx. % Real Alunos 
não ativados]]*Table1537[[#This Row],[Média Alunos Estimada 
Total Personal]])</f>
        <v>12.75</v>
      </c>
      <c r="Y32" s="66">
        <v>0.15</v>
      </c>
      <c r="Z32" s="14">
        <f>Table1537[[#This Row],[Ticket Médio Aluno Personal]]*Table1537[[#This Row],[Média Real Alunos 
Ativos Personal]]</f>
        <v>9954.8926768866222</v>
      </c>
      <c r="AA32" s="62">
        <f>Table1537[[#This Row],[Média Real Alunos 
Ativos Personal]]*Table1537[[#This Row],[Personais 
Ativos Mês]]</f>
        <v>3718.2404972201361</v>
      </c>
      <c r="AB32" s="14">
        <f>Table1537[[#This Row],[Média Real por Personal]]*Q31</f>
        <v>2314782.3959507807</v>
      </c>
      <c r="AC32" s="14">
        <f t="shared" si="18"/>
        <v>115739.11979753904</v>
      </c>
      <c r="AD32" s="14">
        <f>AD31+Table1537[[#This Row],[Faturamento 
Real Bruto]]</f>
        <v>6702848.3174069729</v>
      </c>
      <c r="AE32" s="14">
        <f>AE31+Table1537[[#This Row],[Receita MUVX 
(7,5% &gt;= 1000 Personais)]]</f>
        <v>335142.41587034863</v>
      </c>
      <c r="AF32" s="14">
        <f>Table1537[[#This Row],[Investimento no Mês 
(Growth) // 15%]]+AF31</f>
        <v>71044.624500000005</v>
      </c>
      <c r="AG32" s="73">
        <f>Table1537[[#This Row],[Receita MUVX Acumulada]]/Table1537[[#This Row],[Investimento Acumulado]]</f>
        <v>4.7173507950675226</v>
      </c>
      <c r="AH32" s="73">
        <f>Table1537[[#This Row],[ROI]]+AH31</f>
        <v>33.898321846198549</v>
      </c>
    </row>
    <row r="33" spans="1:34">
      <c r="A33" s="60">
        <v>46296</v>
      </c>
      <c r="B33" s="61">
        <f t="shared" si="15"/>
        <v>15000</v>
      </c>
      <c r="C33" s="61">
        <f t="shared" si="16"/>
        <v>12.789241464770971</v>
      </c>
      <c r="D33" s="62">
        <f>Table1537[[#This Row],[Investimento no Mês 
(Growth) // 15%]]/Table1537[[#This Row],[CPL 
(cadastro)]]</f>
        <v>1172.8608018949949</v>
      </c>
      <c r="E33" s="63">
        <f t="shared" si="10"/>
        <v>0.3</v>
      </c>
      <c r="F33" s="64">
        <f>Table1537[[#This Row],[Novos Cadastros 
LP]]*Table1537[[#This Row],[Tx. % Install]]</f>
        <v>351.85824056849845</v>
      </c>
      <c r="G33" s="63">
        <f t="shared" si="11"/>
        <v>0.6</v>
      </c>
      <c r="H33" s="64">
        <f>Table1537[[#This Row],[Novos Installs no App]]*Table1537[[#This Row],[Tx % Ativações]]</f>
        <v>211.11494434109906</v>
      </c>
      <c r="I33" s="63">
        <f t="shared" si="12"/>
        <v>0.3</v>
      </c>
      <c r="J33" s="64">
        <f t="shared" si="13"/>
        <v>0</v>
      </c>
      <c r="K33" s="63">
        <f t="shared" si="14"/>
        <v>0</v>
      </c>
      <c r="L33" s="62">
        <f>(Table1537[[#This Row],[Novos Personais Habilitados]]*Table1537[[#This Row],[Tx % de Conversão]])+(Table1537[[#This Row],[Cadastros Evento Presencial]]*Table1537[[#This Row],[Tx % Ativação Presencial]])</f>
        <v>63.334483302329716</v>
      </c>
      <c r="M33" s="62">
        <f>Table1537[[#This Row],[Novos Personais Ativados]]+M32</f>
        <v>362.04136114794335</v>
      </c>
      <c r="N33" s="65">
        <f>Table1537[[#This Row],[Investimento no Mês 
(Growth) // 15%]]/Table1537[[#This Row],[Novos Personais Ativados]]</f>
        <v>236.83780490316616</v>
      </c>
      <c r="O33" s="66">
        <v>0.02</v>
      </c>
      <c r="P33" s="67">
        <f>M32*Table1537[[#This Row],[Tx. % Churn]]</f>
        <v>5.9741375569122726</v>
      </c>
      <c r="Q33" s="62">
        <f>Table1537[[#This Row],[Personais 
Totais]]-Table1537[[#This Row],[Qtde. Churn 
no Mês]]</f>
        <v>356.06722359103105</v>
      </c>
      <c r="R33" s="68">
        <v>15</v>
      </c>
      <c r="S33" s="61">
        <f t="shared" si="19"/>
        <v>792.4875346697977</v>
      </c>
      <c r="T33" s="76">
        <f>Table1537[[#This Row],[Média Alunos Estimada 
Total Personal]]*Table1537[[#This Row],[Ticket Médio Aluno Personal]]</f>
        <v>11887.313020046966</v>
      </c>
      <c r="U33" s="62">
        <f>Table1537[[#This Row],[Personais 
Ativos Mês]]+(Table1537[[#This Row],[Personais 
Ativos Mês]]*Table1537[[#This Row],[Média Alunos Estimada 
Total Personal]])</f>
        <v>5697.0755774564968</v>
      </c>
      <c r="V33" s="77">
        <f>Table1537[[#This Row],[Média Faturamento
Estimada Personal]]*Q32</f>
        <v>3466657.9352369276</v>
      </c>
      <c r="W33" s="77">
        <f t="shared" si="17"/>
        <v>173332.89676184638</v>
      </c>
      <c r="X33" s="72">
        <f>Table1537[[#This Row],[Média Alunos Estimada 
Total Personal]]-(Table1537[[#This Row],[Tx. % Real Alunos 
não ativados]]*Table1537[[#This Row],[Média Alunos Estimada 
Total Personal]])</f>
        <v>12.75</v>
      </c>
      <c r="Y33" s="66">
        <v>0.15</v>
      </c>
      <c r="Z33" s="14">
        <f>Table1537[[#This Row],[Ticket Médio Aluno Personal]]*Table1537[[#This Row],[Média Real Alunos 
Ativos Personal]]</f>
        <v>10104.216067039921</v>
      </c>
      <c r="AA33" s="62">
        <f>Table1537[[#This Row],[Média Real Alunos 
Ativos Personal]]*Table1537[[#This Row],[Personais 
Ativos Mês]]</f>
        <v>4539.8571007856463</v>
      </c>
      <c r="AB33" s="14">
        <f>Table1537[[#This Row],[Média Real por Personal]]*Q32</f>
        <v>2946659.2449513883</v>
      </c>
      <c r="AC33" s="14">
        <f t="shared" si="18"/>
        <v>147332.96224756943</v>
      </c>
      <c r="AD33" s="14">
        <f>AD32+Table1537[[#This Row],[Faturamento 
Real Bruto]]</f>
        <v>9649507.5623583607</v>
      </c>
      <c r="AE33" s="14">
        <f>AE32+Table1537[[#This Row],[Receita MUVX 
(7,5% &gt;= 1000 Personais)]]</f>
        <v>482475.37811791804</v>
      </c>
      <c r="AF33" s="14">
        <f>Table1537[[#This Row],[Investimento no Mês 
(Growth) // 15%]]+AF32</f>
        <v>86044.624500000005</v>
      </c>
      <c r="AG33" s="73">
        <f>Table1537[[#This Row],[Receita MUVX Acumulada]]/Table1537[[#This Row],[Investimento Acumulado]]</f>
        <v>5.6072692619853086</v>
      </c>
      <c r="AH33" s="73">
        <f>Table1537[[#This Row],[ROI]]+AH32</f>
        <v>39.505591108183857</v>
      </c>
    </row>
    <row r="34" spans="1:34">
      <c r="A34" s="78">
        <v>46327</v>
      </c>
      <c r="B34" s="61">
        <f t="shared" si="15"/>
        <v>15000</v>
      </c>
      <c r="C34" s="61">
        <f t="shared" si="16"/>
        <v>12.661349050123262</v>
      </c>
      <c r="D34" s="62">
        <f>Table1537[[#This Row],[Investimento no Mês 
(Growth) // 15%]]/Table1537[[#This Row],[CPL 
(cadastro)]]</f>
        <v>1184.707880702015</v>
      </c>
      <c r="E34" s="63">
        <f t="shared" si="10"/>
        <v>0.3</v>
      </c>
      <c r="F34" s="64">
        <f>Table1537[[#This Row],[Novos Cadastros 
LP]]*Table1537[[#This Row],[Tx. % Install]]</f>
        <v>355.41236421060449</v>
      </c>
      <c r="G34" s="63">
        <f t="shared" si="11"/>
        <v>0.6</v>
      </c>
      <c r="H34" s="64">
        <f>Table1537[[#This Row],[Novos Installs no App]]*Table1537[[#This Row],[Tx % Ativações]]</f>
        <v>213.24741852636268</v>
      </c>
      <c r="I34" s="63">
        <f t="shared" si="12"/>
        <v>0.3</v>
      </c>
      <c r="J34" s="64">
        <f t="shared" si="13"/>
        <v>0</v>
      </c>
      <c r="K34" s="63">
        <f t="shared" si="14"/>
        <v>0</v>
      </c>
      <c r="L34" s="62">
        <f>(Table1537[[#This Row],[Novos Personais Habilitados]]*Table1537[[#This Row],[Tx % de Conversão]])+(Table1537[[#This Row],[Cadastros Evento Presencial]]*Table1537[[#This Row],[Tx % Ativação Presencial]])</f>
        <v>63.974225557908802</v>
      </c>
      <c r="M34" s="62">
        <f>Table1537[[#This Row],[Novos Personais Ativados]]+M33</f>
        <v>426.01558670585217</v>
      </c>
      <c r="N34" s="65">
        <f>Table1537[[#This Row],[Investimento no Mês 
(Growth) // 15%]]/Table1537[[#This Row],[Novos Personais Ativados]]</f>
        <v>234.4694268541345</v>
      </c>
      <c r="O34" s="66">
        <v>0.03</v>
      </c>
      <c r="P34" s="67">
        <f>M33*Table1537[[#This Row],[Tx. % Churn]]</f>
        <v>10.8612408344383</v>
      </c>
      <c r="Q34" s="62">
        <f>Table1537[[#This Row],[Personais 
Totais]]-Table1537[[#This Row],[Qtde. Churn 
no Mês]]</f>
        <v>415.15434587141385</v>
      </c>
      <c r="R34" s="68">
        <v>15</v>
      </c>
      <c r="S34" s="61">
        <f t="shared" si="19"/>
        <v>804.37484768984461</v>
      </c>
      <c r="T34" s="76">
        <f>Table1537[[#This Row],[Média Alunos Estimada 
Total Personal]]*Table1537[[#This Row],[Ticket Médio Aluno Personal]]</f>
        <v>12065.622715347668</v>
      </c>
      <c r="U34" s="62">
        <f>Table1537[[#This Row],[Personais 
Ativos Mês]]+(Table1537[[#This Row],[Personais 
Ativos Mês]]*Table1537[[#This Row],[Média Alunos Estimada 
Total Personal]])</f>
        <v>6642.4695339426216</v>
      </c>
      <c r="V34" s="77">
        <f>Table1537[[#This Row],[Média Faturamento
Estimada Personal]]*Q33</f>
        <v>4296172.781150721</v>
      </c>
      <c r="W34" s="77">
        <f t="shared" si="17"/>
        <v>214808.63905753606</v>
      </c>
      <c r="X34" s="72">
        <f>Table1537[[#This Row],[Média Alunos Estimada 
Total Personal]]-(Table1537[[#This Row],[Tx. % Real Alunos 
não ativados]]*Table1537[[#This Row],[Média Alunos Estimada 
Total Personal]])</f>
        <v>12.75</v>
      </c>
      <c r="Y34" s="66">
        <v>0.15</v>
      </c>
      <c r="Z34" s="14">
        <f>Table1537[[#This Row],[Ticket Médio Aluno Personal]]*Table1537[[#This Row],[Média Real Alunos 
Ativos Personal]]</f>
        <v>10255.779308045519</v>
      </c>
      <c r="AA34" s="62">
        <f>Table1537[[#This Row],[Média Real Alunos 
Ativos Personal]]*Table1537[[#This Row],[Personais 
Ativos Mês]]</f>
        <v>5293.2179098605266</v>
      </c>
      <c r="AB34" s="14">
        <f>Table1537[[#This Row],[Média Real por Personal]]*Q33</f>
        <v>3651746.8639781135</v>
      </c>
      <c r="AC34" s="14">
        <f t="shared" si="18"/>
        <v>182587.3431989057</v>
      </c>
      <c r="AD34" s="14">
        <f>AD33+Table1537[[#This Row],[Faturamento 
Real Bruto]]</f>
        <v>13301254.426336475</v>
      </c>
      <c r="AE34" s="14">
        <f>AE33+Table1537[[#This Row],[Receita MUVX 
(7,5% &gt;= 1000 Personais)]]</f>
        <v>665062.72131682374</v>
      </c>
      <c r="AF34" s="14">
        <f>Table1537[[#This Row],[Investimento no Mês 
(Growth) // 15%]]+AF33</f>
        <v>101044.62450000001</v>
      </c>
      <c r="AG34" s="73">
        <f>Table1537[[#This Row],[Receita MUVX Acumulada]]/Table1537[[#This Row],[Investimento Acumulado]]</f>
        <v>6.5818713722551729</v>
      </c>
      <c r="AH34" s="73">
        <f>Table1537[[#This Row],[ROI]]+AH33</f>
        <v>46.087462480439029</v>
      </c>
    </row>
    <row r="35" spans="1:34">
      <c r="A35" s="60">
        <v>46357</v>
      </c>
      <c r="B35" s="61">
        <f t="shared" si="15"/>
        <v>15000</v>
      </c>
      <c r="C35" s="61">
        <f t="shared" si="16"/>
        <v>12.534735559622028</v>
      </c>
      <c r="D35" s="62">
        <f>Table1537[[#This Row],[Investimento no Mês 
(Growth) // 15%]]/Table1537[[#This Row],[CPL 
(cadastro)]]</f>
        <v>1196.6746269717323</v>
      </c>
      <c r="E35" s="63">
        <f t="shared" si="10"/>
        <v>0.3</v>
      </c>
      <c r="F35" s="64">
        <f>Table1537[[#This Row],[Novos Cadastros 
LP]]*Table1537[[#This Row],[Tx. % Install]]</f>
        <v>359.00238809151966</v>
      </c>
      <c r="G35" s="63">
        <f t="shared" si="11"/>
        <v>0.6</v>
      </c>
      <c r="H35" s="64">
        <f>Table1537[[#This Row],[Novos Installs no App]]*Table1537[[#This Row],[Tx % Ativações]]</f>
        <v>215.4014328549118</v>
      </c>
      <c r="I35" s="63">
        <f t="shared" si="12"/>
        <v>0.3</v>
      </c>
      <c r="J35" s="64">
        <f t="shared" si="13"/>
        <v>0</v>
      </c>
      <c r="K35" s="63">
        <f t="shared" si="14"/>
        <v>0</v>
      </c>
      <c r="L35" s="62">
        <f>(Table1537[[#This Row],[Novos Personais Habilitados]]*Table1537[[#This Row],[Tx % de Conversão]])+(Table1537[[#This Row],[Cadastros Evento Presencial]]*Table1537[[#This Row],[Tx % Ativação Presencial]])</f>
        <v>64.620429856473535</v>
      </c>
      <c r="M35" s="62">
        <f>Table1537[[#This Row],[Novos Personais Ativados]]+M34</f>
        <v>490.63601656232572</v>
      </c>
      <c r="N35" s="65">
        <f>Table1537[[#This Row],[Investimento no Mês 
(Growth) // 15%]]/Table1537[[#This Row],[Novos Personais Ativados]]</f>
        <v>232.12473258559316</v>
      </c>
      <c r="O35" s="66">
        <v>0.03</v>
      </c>
      <c r="P35" s="67">
        <f>M34*Table1537[[#This Row],[Tx. % Churn]]</f>
        <v>12.780467601175564</v>
      </c>
      <c r="Q35" s="62">
        <f>Table1537[[#This Row],[Personais 
Totais]]-Table1537[[#This Row],[Qtde. Churn 
no Mês]]</f>
        <v>477.85554896115013</v>
      </c>
      <c r="R35" s="68">
        <v>15</v>
      </c>
      <c r="S35" s="61">
        <f t="shared" si="19"/>
        <v>816.44047040519217</v>
      </c>
      <c r="T35" s="76">
        <f>Table1537[[#This Row],[Média Alunos Estimada 
Total Personal]]*Table1537[[#This Row],[Ticket Médio Aluno Personal]]</f>
        <v>12246.607056077883</v>
      </c>
      <c r="U35" s="62">
        <f>Table1537[[#This Row],[Personais 
Ativos Mês]]+(Table1537[[#This Row],[Personais 
Ativos Mês]]*Table1537[[#This Row],[Média Alunos Estimada 
Total Personal]])</f>
        <v>7645.6887833784021</v>
      </c>
      <c r="V35" s="77">
        <f>Table1537[[#This Row],[Média Faturamento
Estimada Personal]]*Q34</f>
        <v>5084232.1415102547</v>
      </c>
      <c r="W35" s="77">
        <f t="shared" si="17"/>
        <v>254211.60707551276</v>
      </c>
      <c r="X35" s="72">
        <f>Table1537[[#This Row],[Média Alunos Estimada 
Total Personal]]-(Table1537[[#This Row],[Tx. % Real Alunos 
não ativados]]*Table1537[[#This Row],[Média Alunos Estimada 
Total Personal]])</f>
        <v>12.75</v>
      </c>
      <c r="Y35" s="66">
        <v>0.15</v>
      </c>
      <c r="Z35" s="14">
        <f>Table1537[[#This Row],[Ticket Médio Aluno Personal]]*Table1537[[#This Row],[Média Real Alunos 
Ativos Personal]]</f>
        <v>10409.6159976662</v>
      </c>
      <c r="AA35" s="62">
        <f>Table1537[[#This Row],[Média Real Alunos 
Ativos Personal]]*Table1537[[#This Row],[Personais 
Ativos Mês]]</f>
        <v>6092.658249254664</v>
      </c>
      <c r="AB35" s="14">
        <f>Table1537[[#This Row],[Média Real por Personal]]*Q34</f>
        <v>4321597.3202837165</v>
      </c>
      <c r="AC35" s="14">
        <f t="shared" si="18"/>
        <v>216079.86601418583</v>
      </c>
      <c r="AD35" s="14">
        <f>AD34+Table1537[[#This Row],[Faturamento 
Real Bruto]]</f>
        <v>17622851.746620193</v>
      </c>
      <c r="AE35" s="14">
        <f>AE34+Table1537[[#This Row],[Receita MUVX 
(7,5% &gt;= 1000 Personais)]]</f>
        <v>881142.58733100956</v>
      </c>
      <c r="AF35" s="14">
        <f>Table1537[[#This Row],[Investimento no Mês 
(Growth) // 15%]]+AF34</f>
        <v>116044.62450000001</v>
      </c>
      <c r="AG35" s="73">
        <f>Table1537[[#This Row],[Receita MUVX Acumulada]]/Table1537[[#This Row],[Investimento Acumulado]]</f>
        <v>7.5931357538324367</v>
      </c>
      <c r="AH35" s="73">
        <f>Table1537[[#This Row],[ROI]]+AH34</f>
        <v>53.680598234271464</v>
      </c>
    </row>
    <row r="36" spans="1:34">
      <c r="A36" s="60">
        <v>46388</v>
      </c>
      <c r="B36" s="61">
        <f t="shared" si="15"/>
        <v>15000</v>
      </c>
      <c r="C36" s="61">
        <f t="shared" si="16"/>
        <v>12.409388204025808</v>
      </c>
      <c r="D36" s="62">
        <f>Table1537[[#This Row],[Investimento no Mês 
(Growth) // 15%]]/Table1537[[#This Row],[CPL 
(cadastro)]]</f>
        <v>1208.7622494663965</v>
      </c>
      <c r="E36" s="63">
        <f t="shared" si="10"/>
        <v>0.3</v>
      </c>
      <c r="F36" s="64">
        <f>Table1537[[#This Row],[Novos Cadastros 
LP]]*Table1537[[#This Row],[Tx. % Install]]</f>
        <v>362.62867483991892</v>
      </c>
      <c r="G36" s="63">
        <f t="shared" si="11"/>
        <v>0.6</v>
      </c>
      <c r="H36" s="64">
        <f>Table1537[[#This Row],[Novos Installs no App]]*Table1537[[#This Row],[Tx % Ativações]]</f>
        <v>217.57720490395135</v>
      </c>
      <c r="I36" s="63">
        <f t="shared" si="12"/>
        <v>0.3</v>
      </c>
      <c r="J36" s="64">
        <f t="shared" si="13"/>
        <v>0</v>
      </c>
      <c r="K36" s="63">
        <f t="shared" si="14"/>
        <v>0</v>
      </c>
      <c r="L36" s="62">
        <f>(Table1537[[#This Row],[Novos Personais Habilitados]]*Table1537[[#This Row],[Tx % de Conversão]])+(Table1537[[#This Row],[Cadastros Evento Presencial]]*Table1537[[#This Row],[Tx % Ativação Presencial]])</f>
        <v>65.273161471185404</v>
      </c>
      <c r="M36" s="62">
        <f>Table1537[[#This Row],[Novos Personais Ativados]]+M35</f>
        <v>555.90917803351113</v>
      </c>
      <c r="N36" s="65">
        <f>Table1537[[#This Row],[Investimento no Mês 
(Growth) // 15%]]/Table1537[[#This Row],[Novos Personais Ativados]]</f>
        <v>229.80348525973719</v>
      </c>
      <c r="O36" s="66">
        <v>0.06</v>
      </c>
      <c r="P36" s="67">
        <f>M35*Table1537[[#This Row],[Tx. % Churn]]</f>
        <v>29.438160993739544</v>
      </c>
      <c r="Q36" s="62">
        <f>Table1537[[#This Row],[Personais 
Totais]]-Table1537[[#This Row],[Qtde. Churn 
no Mês]]</f>
        <v>526.4710170397716</v>
      </c>
      <c r="R36" s="68">
        <v>15</v>
      </c>
      <c r="S36" s="61">
        <f t="shared" si="19"/>
        <v>828.68707746126995</v>
      </c>
      <c r="T36" s="76">
        <f>Table1537[[#This Row],[Média Alunos Estimada 
Total Personal]]*Table1537[[#This Row],[Ticket Médio Aluno Personal]]</f>
        <v>12430.306161919048</v>
      </c>
      <c r="U36" s="62">
        <f>Table1537[[#This Row],[Personais 
Ativos Mês]]+(Table1537[[#This Row],[Personais 
Ativos Mês]]*Table1537[[#This Row],[Média Alunos Estimada 
Total Personal]])</f>
        <v>8423.5362726363455</v>
      </c>
      <c r="V36" s="77">
        <f>Table1537[[#This Row],[Média Faturamento
Estimada Personal]]*Q35</f>
        <v>5939890.7747589936</v>
      </c>
      <c r="W36" s="77">
        <f t="shared" si="17"/>
        <v>296994.53873794968</v>
      </c>
      <c r="X36" s="72">
        <f>Table1537[[#This Row],[Média Alunos Estimada 
Total Personal]]-(Table1537[[#This Row],[Tx. % Real Alunos 
não ativados]]*Table1537[[#This Row],[Média Alunos Estimada 
Total Personal]])</f>
        <v>12.75</v>
      </c>
      <c r="Y36" s="66">
        <v>0.15</v>
      </c>
      <c r="Z36" s="14">
        <f>Table1537[[#This Row],[Ticket Médio Aluno Personal]]*Table1537[[#This Row],[Média Real Alunos 
Ativos Personal]]</f>
        <v>10565.760237631192</v>
      </c>
      <c r="AA36" s="62">
        <f>Table1537[[#This Row],[Média Real Alunos 
Ativos Personal]]*Table1537[[#This Row],[Personais 
Ativos Mês]]</f>
        <v>6712.5054672570877</v>
      </c>
      <c r="AB36" s="14">
        <f>Table1537[[#This Row],[Média Real por Personal]]*Q35</f>
        <v>5048907.1585451448</v>
      </c>
      <c r="AC36" s="14">
        <f t="shared" si="18"/>
        <v>252445.35792725725</v>
      </c>
      <c r="AD36" s="14">
        <f>AD35+Table1537[[#This Row],[Faturamento 
Real Bruto]]</f>
        <v>22671758.905165337</v>
      </c>
      <c r="AE36" s="14">
        <f>AE35+Table1537[[#This Row],[Receita MUVX 
(7,5% &gt;= 1000 Personais)]]</f>
        <v>1133587.9452582668</v>
      </c>
      <c r="AF36" s="14">
        <f>Table1537[[#This Row],[Investimento no Mês 
(Growth) // 15%]]+AF35</f>
        <v>131044.62450000001</v>
      </c>
      <c r="AG36" s="73">
        <f>Table1537[[#This Row],[Receita MUVX Acumulada]]/Table1537[[#This Row],[Investimento Acumulado]]</f>
        <v>8.650396378969873</v>
      </c>
      <c r="AH36" s="73">
        <f>Table1537[[#This Row],[ROI]]+AH35</f>
        <v>62.330994613241337</v>
      </c>
    </row>
    <row r="37" spans="1:34" s="86" customFormat="1">
      <c r="A37" s="79"/>
      <c r="B37" s="80">
        <f>SUBTOTAL(109,B23:B36)</f>
        <v>131044.62450000001</v>
      </c>
      <c r="C37" s="80">
        <f>SUBTOTAL(101,C23:C36)</f>
        <v>13.105040557246058</v>
      </c>
      <c r="D37" s="81">
        <f>SUBTOTAL(109,D23:D36)</f>
        <v>11172.637228493964</v>
      </c>
      <c r="E37" s="82">
        <f>AVERAGE(E23:E36)</f>
        <v>0.25428571428571423</v>
      </c>
      <c r="F37" s="81">
        <f>Table1537[[#This Row],[Novos Cadastros 
LP]]*Table1537[[#This Row],[Tx. % Install]]</f>
        <v>2841.0420381027502</v>
      </c>
      <c r="G37" s="82">
        <f t="shared" si="11"/>
        <v>0.53571428571428559</v>
      </c>
      <c r="H37" s="82">
        <f>Table1537[[#This Row],[Novos Installs no App]]*Table1537[[#This Row],[Tx % Ativações]]</f>
        <v>1521.9868061264729</v>
      </c>
      <c r="I37" s="82">
        <f t="shared" si="12"/>
        <v>0.32857142857142846</v>
      </c>
      <c r="J37" s="81">
        <f t="shared" si="13"/>
        <v>0</v>
      </c>
      <c r="K37" s="82">
        <f t="shared" si="14"/>
        <v>0</v>
      </c>
      <c r="L37" s="83">
        <f>SUBTOTAL(109,L23:L36)</f>
        <v>555.90917803351113</v>
      </c>
      <c r="M37" s="83">
        <f>AVERAGE(M23:M36)</f>
        <v>202.47867956983617</v>
      </c>
      <c r="N37" s="80" t="e">
        <f>SUBTOTAL(101,N23:N36)</f>
        <v>#DIV/0!</v>
      </c>
      <c r="O37" s="84">
        <f>AVERAGE(O23:O36)</f>
        <v>2.571428571428571E-2</v>
      </c>
      <c r="P37" s="83">
        <f>SUBTOTAL(109,P23:P36)</f>
        <v>76.42261896350746</v>
      </c>
      <c r="Q37" s="83">
        <f>Q36</f>
        <v>526.4710170397716</v>
      </c>
      <c r="R37" s="83">
        <f>AVERAGE(R23:R36)</f>
        <v>15</v>
      </c>
      <c r="S37" s="85">
        <f>Table1537[[#This Row],[Média Faturamento
Estimada Personal]]/Table1537[[#This Row],[Média Alunos Estimada 
Total Personal]]</f>
        <v>705.3208743961427</v>
      </c>
      <c r="T37" s="80">
        <f>SUBTOTAL(101,T23:T36)</f>
        <v>10579.813115942141</v>
      </c>
      <c r="U37" s="83">
        <f>Table1537[[#This Row],[Personais 
Ativos Mês]]+(Table1537[[#This Row],[Personais 
Ativos Mês]]*Table1537[[#This Row],[Média Alunos Estimada 
Total Personal]])</f>
        <v>8423.5362726363455</v>
      </c>
      <c r="V37" s="85">
        <f>SUBTOTAL(109,V23:V36)</f>
        <v>26672657.535488628</v>
      </c>
      <c r="W37" s="85">
        <f>Table1537[[#This Row],[Faturamento Estimado]]*5%</f>
        <v>1333632.8767744314</v>
      </c>
      <c r="X37" s="83"/>
      <c r="Y37" s="83"/>
      <c r="Z37" s="85">
        <f>AVERAGE(Z24:Z36)</f>
        <v>9240.3673907470347</v>
      </c>
      <c r="AA37" s="62"/>
      <c r="AB37" s="80">
        <f>SUBTOTAL(109,AB23:AB36)</f>
        <v>22671758.905165337</v>
      </c>
      <c r="AC37" s="80">
        <f>SUBTOTAL(109,AC23:AC36)</f>
        <v>1133587.9452582668</v>
      </c>
      <c r="AD37" s="80"/>
    </row>
    <row r="38" spans="1:34">
      <c r="A38" s="87"/>
      <c r="D38" s="15"/>
      <c r="E38" s="88"/>
      <c r="F38" s="88">
        <f>Table1537[[#This Row],[Novos Cadastros 
LP]]*Table1537[[#This Row],[Tx. % Install]]</f>
        <v>0</v>
      </c>
      <c r="G38" s="88">
        <f t="shared" si="11"/>
        <v>0</v>
      </c>
      <c r="H38" s="88">
        <f>Table1537[[#This Row],[Novos Installs no App]]*Table1537[[#This Row],[Tx % Ativações]]</f>
        <v>0</v>
      </c>
      <c r="I38" s="88">
        <f t="shared" si="12"/>
        <v>0</v>
      </c>
      <c r="J38" s="88">
        <f t="shared" si="13"/>
        <v>0</v>
      </c>
      <c r="K38" s="88">
        <f t="shared" si="14"/>
        <v>0</v>
      </c>
      <c r="S38" s="15"/>
      <c r="U38" s="15"/>
      <c r="V38" s="15"/>
      <c r="W38" s="15"/>
      <c r="X38" s="62"/>
      <c r="AA38" s="83"/>
    </row>
    <row r="39" spans="1:34">
      <c r="A39" s="87"/>
      <c r="C39" s="89" t="s">
        <v>253</v>
      </c>
      <c r="D39" s="90">
        <f>D37/130000</f>
        <v>8.5943363296107411E-2</v>
      </c>
      <c r="E39" s="91"/>
      <c r="F39" s="91">
        <f>Table1537[[#This Row],[Novos Cadastros 
LP]]*Table1537[[#This Row],[Tx. % Install]]</f>
        <v>0</v>
      </c>
      <c r="G39" s="91">
        <f t="shared" si="11"/>
        <v>0</v>
      </c>
      <c r="H39" s="91">
        <f>Table1537[[#This Row],[Novos Installs no App]]*Table1537[[#This Row],[Tx % Ativações]]</f>
        <v>0</v>
      </c>
      <c r="I39" s="91">
        <f t="shared" si="12"/>
        <v>0</v>
      </c>
      <c r="J39" s="91">
        <f t="shared" si="13"/>
        <v>0</v>
      </c>
      <c r="K39" s="91">
        <f t="shared" si="14"/>
        <v>0</v>
      </c>
      <c r="L39" s="90"/>
      <c r="P39" s="89" t="s">
        <v>253</v>
      </c>
      <c r="Q39" s="90">
        <f>Q37/130000</f>
        <v>4.0497770541520891E-3</v>
      </c>
      <c r="S39" s="15"/>
      <c r="U39" s="15"/>
      <c r="V39" s="15"/>
      <c r="W39" s="15"/>
      <c r="X39" s="62"/>
      <c r="AA39" s="62"/>
      <c r="AB39" s="93"/>
      <c r="AC39" s="89"/>
    </row>
    <row r="41" spans="1:34">
      <c r="C41" s="185" t="s">
        <v>213</v>
      </c>
      <c r="D41" s="185"/>
      <c r="E41" s="186" t="s">
        <v>214</v>
      </c>
      <c r="F41" s="186"/>
      <c r="G41" s="187" t="s">
        <v>215</v>
      </c>
      <c r="H41" s="187"/>
      <c r="I41" s="186" t="s">
        <v>216</v>
      </c>
      <c r="J41" s="186"/>
      <c r="K41" s="186"/>
      <c r="L41" s="186"/>
      <c r="M41" s="186"/>
      <c r="N41" s="188" t="s">
        <v>217</v>
      </c>
      <c r="O41" s="188"/>
      <c r="P41" s="188"/>
      <c r="Q41" s="188"/>
      <c r="X41" s="184" t="s">
        <v>218</v>
      </c>
      <c r="Y41" s="184"/>
      <c r="Z41" s="184"/>
      <c r="AA41" s="184"/>
      <c r="AB41" s="184"/>
      <c r="AC41" s="184"/>
      <c r="AD41" s="184"/>
    </row>
    <row r="42" spans="1:34" s="59" customFormat="1" ht="54" customHeight="1">
      <c r="A42" s="54" t="s">
        <v>219</v>
      </c>
      <c r="B42" s="54" t="s">
        <v>256</v>
      </c>
      <c r="C42" s="55" t="s">
        <v>255</v>
      </c>
      <c r="D42" s="55" t="s">
        <v>222</v>
      </c>
      <c r="E42" s="56" t="s">
        <v>223</v>
      </c>
      <c r="F42" s="56" t="s">
        <v>224</v>
      </c>
      <c r="G42" s="57" t="s">
        <v>225</v>
      </c>
      <c r="H42" s="57" t="s">
        <v>226</v>
      </c>
      <c r="I42" s="56" t="s">
        <v>227</v>
      </c>
      <c r="J42" s="56" t="s">
        <v>228</v>
      </c>
      <c r="K42" s="56" t="s">
        <v>229</v>
      </c>
      <c r="L42" s="94" t="s">
        <v>230</v>
      </c>
      <c r="M42" s="94" t="s">
        <v>231</v>
      </c>
      <c r="N42" s="54" t="s">
        <v>232</v>
      </c>
      <c r="O42" s="54" t="s">
        <v>233</v>
      </c>
      <c r="P42" s="54" t="s">
        <v>234</v>
      </c>
      <c r="Q42" s="54" t="s">
        <v>235</v>
      </c>
      <c r="R42" s="54" t="s">
        <v>236</v>
      </c>
      <c r="S42" s="54" t="s">
        <v>237</v>
      </c>
      <c r="T42" s="54" t="s">
        <v>238</v>
      </c>
      <c r="U42" s="54" t="s">
        <v>239</v>
      </c>
      <c r="V42" s="54" t="s">
        <v>240</v>
      </c>
      <c r="W42" s="54" t="s">
        <v>324</v>
      </c>
      <c r="X42" s="55" t="s">
        <v>242</v>
      </c>
      <c r="Y42" s="55" t="s">
        <v>243</v>
      </c>
      <c r="Z42" s="55" t="s">
        <v>244</v>
      </c>
      <c r="AA42" s="55" t="s">
        <v>245</v>
      </c>
      <c r="AB42" s="55" t="s">
        <v>246</v>
      </c>
      <c r="AC42" s="55" t="s">
        <v>325</v>
      </c>
      <c r="AD42" s="55" t="s">
        <v>248</v>
      </c>
      <c r="AE42" s="58" t="s">
        <v>249</v>
      </c>
      <c r="AF42" s="58" t="s">
        <v>250</v>
      </c>
      <c r="AG42" s="54" t="s">
        <v>251</v>
      </c>
      <c r="AH42" s="54" t="s">
        <v>252</v>
      </c>
    </row>
    <row r="43" spans="1:34">
      <c r="A43" s="60">
        <v>45992</v>
      </c>
      <c r="B43" s="61">
        <f>B64*0.8</f>
        <v>25070.608</v>
      </c>
      <c r="C43" s="61">
        <f>C64</f>
        <v>12</v>
      </c>
      <c r="D43" s="62">
        <f>Table1538[[#This Row],[Investimento no Mês
 (Growth) // 80%]]/Table1538[[#This Row],[CPL 
(cadastro)]]</f>
        <v>2089.2173333333335</v>
      </c>
      <c r="E43" s="63">
        <f t="shared" ref="E43:E56" si="20">E64</f>
        <v>0.06</v>
      </c>
      <c r="F43" s="64">
        <f>Table1538[[#This Row],[Novos Cadastros 
LP]]*Table1538[[#This Row],[Tx. % Install]]</f>
        <v>125.35304000000001</v>
      </c>
      <c r="G43" s="63">
        <f t="shared" ref="G43:G59" si="21">G64</f>
        <v>0</v>
      </c>
      <c r="H43" s="64">
        <f>Table1538[[#This Row],[Novos Installs no App]]*Table1538[[#This Row],[Tx % Ativações]]</f>
        <v>0</v>
      </c>
      <c r="I43" s="63">
        <f t="shared" ref="I43:I59" si="22">I64</f>
        <v>0.7</v>
      </c>
      <c r="J43" s="64">
        <f t="shared" ref="J43:J59" si="23">J64*30%</f>
        <v>0</v>
      </c>
      <c r="K43" s="63">
        <f t="shared" ref="K43:K59" si="24">K64</f>
        <v>0</v>
      </c>
      <c r="L43" s="62">
        <f>(Table1538[[#This Row],[Novos Personais Habilitados]]*(Table1538[[#This Row],[Tx % de Conversão]])+Table1538[[#This Row],[Cadastros Evento Presencial]]*Table1538[[#This Row],[Tx % Ativação Presencial]])</f>
        <v>0</v>
      </c>
      <c r="M43" s="62">
        <f>Table1538[[#This Row],[Novos Personais Ativados]]</f>
        <v>0</v>
      </c>
      <c r="N43" s="65" t="e">
        <f>Table1538[[#This Row],[Investimento no Mês
 (Growth) // 80%]]/Table1538[[#This Row],[Novos Personais Ativados]]</f>
        <v>#DIV/0!</v>
      </c>
      <c r="O43" s="66">
        <v>0</v>
      </c>
      <c r="P43" s="67">
        <f>Table1538[[#This Row],[Personais 
Totais]]*Table1538[[#This Row],[Tx. % Churn]]</f>
        <v>0</v>
      </c>
      <c r="Q43" s="62">
        <f>Table1538[[#This Row],[Personais 
Totais]]-Table1538[[#This Row],[Qtde. Churn 
no Mês]]</f>
        <v>0</v>
      </c>
      <c r="R43" s="68">
        <v>15</v>
      </c>
      <c r="S43" s="69">
        <v>0</v>
      </c>
      <c r="T43" s="70">
        <v>0</v>
      </c>
      <c r="U43" s="62">
        <f>Table1538[[#This Row],[Personais 
Ativos Mês]]+(Table1538[[#This Row],[Personais 
Ativos Mês]]*Table1538[[#This Row],[Média Alunos Estimada 
Total Personal]])</f>
        <v>0</v>
      </c>
      <c r="V43" s="71">
        <v>0</v>
      </c>
      <c r="W43" s="71">
        <v>0</v>
      </c>
      <c r="X43" s="72">
        <f>Table1538[[#This Row],[Média Alunos Estimada 
Total Personal]]-(Table1538[[#This Row],[Tx. % Real Alunos 
não ativados]]*Table1538[[#This Row],[Média Alunos Estimada 
Total Personal]])</f>
        <v>9.75</v>
      </c>
      <c r="Y43" s="66">
        <v>0.35</v>
      </c>
      <c r="Z43" s="14" t="e">
        <f>AB43/Q43</f>
        <v>#DIV/0!</v>
      </c>
      <c r="AA43" s="62">
        <f>Table1538[[#This Row],[Média Real Alunos 
Ativos Personal]]*Table1538[[#This Row],[Personais 
Ativos Mês]]</f>
        <v>0</v>
      </c>
      <c r="AB43" s="14">
        <v>0</v>
      </c>
      <c r="AC43" s="14">
        <v>0</v>
      </c>
      <c r="AD43" s="14">
        <f>Table1538[[#This Row],[Faturamento 
Real Bruto]]</f>
        <v>0</v>
      </c>
      <c r="AE43" s="14">
        <v>0</v>
      </c>
      <c r="AF43" s="14">
        <f>Table1538[[#This Row],[Investimento no Mês
 (Growth) // 80%]]</f>
        <v>25070.608</v>
      </c>
      <c r="AG43" s="73">
        <v>0</v>
      </c>
      <c r="AH43" s="74">
        <v>0</v>
      </c>
    </row>
    <row r="44" spans="1:34">
      <c r="A44" s="60">
        <v>46023</v>
      </c>
      <c r="B44" s="61">
        <f t="shared" ref="B44:B56" si="25">B65*0.8</f>
        <v>4234.0559999999996</v>
      </c>
      <c r="C44" s="61">
        <f t="shared" ref="C44:C56" si="26">C65</f>
        <v>14</v>
      </c>
      <c r="D44" s="75">
        <v>516</v>
      </c>
      <c r="E44" s="63">
        <f t="shared" si="20"/>
        <v>0.2</v>
      </c>
      <c r="F44" s="64">
        <f>Table1538[[#This Row],[Novos Cadastros 
LP]]*Table1538[[#This Row],[Tx. % Install]]</f>
        <v>103.2</v>
      </c>
      <c r="G44" s="63">
        <f t="shared" si="21"/>
        <v>0.5</v>
      </c>
      <c r="H44" s="64">
        <f>Table1538[[#This Row],[Novos Installs no App]]*Table1538[[#This Row],[Tx % Ativações]]</f>
        <v>51.6</v>
      </c>
      <c r="I44" s="63">
        <f t="shared" si="22"/>
        <v>0.3</v>
      </c>
      <c r="J44" s="64">
        <f t="shared" si="23"/>
        <v>0</v>
      </c>
      <c r="K44" s="63">
        <f t="shared" si="24"/>
        <v>0</v>
      </c>
      <c r="L44" s="62">
        <f>(Table1538[[#This Row],[Novos Personais Habilitados]]*(Table1538[[#This Row],[Tx % de Conversão]])+Table1538[[#This Row],[Cadastros Evento Presencial]]*Table1538[[#This Row],[Tx % Ativação Presencial]])</f>
        <v>15.48</v>
      </c>
      <c r="M44" s="62">
        <f>Table1538[[#This Row],[Novos Personais Ativados]]+M43</f>
        <v>15.48</v>
      </c>
      <c r="N44" s="65">
        <f>Table1538[[#This Row],[Investimento no Mês
 (Growth) // 80%]]/Table1538[[#This Row],[Novos Personais Ativados]]</f>
        <v>273.51782945736431</v>
      </c>
      <c r="O44" s="66">
        <v>0.02</v>
      </c>
      <c r="P44" s="67">
        <f>M43*Table1538[[#This Row],[Tx. % Churn]]</f>
        <v>0</v>
      </c>
      <c r="Q44" s="62">
        <f>Table1538[[#This Row],[Personais 
Totais]]-Table1538[[#This Row],[Qtde. Churn 
no Mês]]</f>
        <v>15.48</v>
      </c>
      <c r="R44" s="68">
        <v>15</v>
      </c>
      <c r="S44" s="61">
        <v>1350</v>
      </c>
      <c r="T44" s="76">
        <f>Table1538[[#This Row],[Média Alunos Estimada 
Total Personal]]*Table1538[[#This Row],[Ticket Médio Aluno Personal]]</f>
        <v>20250</v>
      </c>
      <c r="U44" s="62">
        <f>Table1538[[#This Row],[Personais 
Ativos Mês]]+(Table1538[[#This Row],[Personais 
Ativos Mês]]*Table1538[[#This Row],[Média Alunos Estimada 
Total Personal]])</f>
        <v>247.68</v>
      </c>
      <c r="V44" s="77">
        <f>Table1538[[#This Row],[Média Faturamento
Estimada Personal]]*Q43</f>
        <v>0</v>
      </c>
      <c r="W44" s="77">
        <f t="shared" ref="W44:W56" si="27">IF(Q44&lt;=1000, V44*5%, (T44*1000*5%) + ((Q44-1000)*T44*7.5%))</f>
        <v>0</v>
      </c>
      <c r="X44" s="72">
        <f>Table1538[[#This Row],[Média Alunos Estimada 
Total Personal]]-(Table1538[[#This Row],[Tx. % Real Alunos 
não ativados]]*Table1538[[#This Row],[Média Alunos Estimada 
Total Personal]])</f>
        <v>4.5</v>
      </c>
      <c r="Y44" s="66">
        <v>0.7</v>
      </c>
      <c r="Z44" s="14">
        <f>Table1538[[#This Row],[Ticket Médio Aluno Personal]]*Table1538[[#This Row],[Média Real Alunos 
Ativos Personal]]</f>
        <v>6075</v>
      </c>
      <c r="AA44" s="62">
        <f>Table1538[[#This Row],[Média Real Alunos 
Ativos Personal]]*Table1538[[#This Row],[Personais 
Ativos Mês]]</f>
        <v>69.66</v>
      </c>
      <c r="AB44" s="14">
        <f>Table1538[[#This Row],[Média Real por Personal]]*Q43</f>
        <v>0</v>
      </c>
      <c r="AC44" s="14">
        <f>IF(Q44&lt;=1000, AB44*5%, (Z44*1000*5%) + ((Q44-1000)*Z44*7.5%))</f>
        <v>0</v>
      </c>
      <c r="AD44" s="14">
        <f>Table1538[[#This Row],[Faturamento 
Real Bruto]]+AB43</f>
        <v>0</v>
      </c>
      <c r="AE44" s="14">
        <f>Table1538[[#This Row],[Receita MUVX 
(7,5% &gt;= 1000 Personais)]]+AC43</f>
        <v>0</v>
      </c>
      <c r="AF44" s="14">
        <f>Table1538[[#This Row],[Investimento no Mês
 (Growth) // 80%]]+AF43</f>
        <v>29304.664000000001</v>
      </c>
      <c r="AG44" s="73">
        <f>Table1538[[#This Row],[Receita MUVX Acumulada]]/Table1538[[#This Row],[Investimento Acumulado]]</f>
        <v>0</v>
      </c>
      <c r="AH44" s="73">
        <f>Table1538[[#This Row],[ROI]]+AH43</f>
        <v>0</v>
      </c>
    </row>
    <row r="45" spans="1:34">
      <c r="A45" s="60">
        <v>46054</v>
      </c>
      <c r="B45" s="61">
        <f t="shared" si="25"/>
        <v>800</v>
      </c>
      <c r="C45" s="61">
        <f t="shared" si="26"/>
        <v>13.86</v>
      </c>
      <c r="D45" s="62">
        <f>Table1538[[#This Row],[Investimento no Mês
 (Growth) // 80%]]/Table1538[[#This Row],[CPL 
(cadastro)]]</f>
        <v>57.720057720057724</v>
      </c>
      <c r="E45" s="63">
        <f t="shared" si="20"/>
        <v>0.2</v>
      </c>
      <c r="F45" s="64">
        <f>Table1538[[#This Row],[Novos Cadastros 
LP]]*Table1538[[#This Row],[Tx. % Install]]</f>
        <v>11.544011544011546</v>
      </c>
      <c r="G45" s="63">
        <f t="shared" si="21"/>
        <v>0.5</v>
      </c>
      <c r="H45" s="64">
        <f>Table1538[[#This Row],[Novos Installs no App]]*Table1538[[#This Row],[Tx % Ativações]]</f>
        <v>5.7720057720057731</v>
      </c>
      <c r="I45" s="63">
        <f t="shared" si="22"/>
        <v>0.3</v>
      </c>
      <c r="J45" s="64">
        <f t="shared" si="23"/>
        <v>0</v>
      </c>
      <c r="K45" s="63">
        <f t="shared" si="24"/>
        <v>0</v>
      </c>
      <c r="L45" s="62">
        <f>(Table1538[[#This Row],[Novos Personais Habilitados]]*(Table1538[[#This Row],[Tx % de Conversão]])+Table1538[[#This Row],[Cadastros Evento Presencial]]*Table1538[[#This Row],[Tx % Ativação Presencial]])</f>
        <v>1.7316017316017318</v>
      </c>
      <c r="M45" s="62">
        <f>Table1538[[#This Row],[Novos Personais Ativados]]+M44</f>
        <v>17.211601731601732</v>
      </c>
      <c r="N45" s="65">
        <f>Table1538[[#This Row],[Investimento no Mês
 (Growth) // 80%]]/Table1538[[#This Row],[Novos Personais Ativados]]</f>
        <v>461.99999999999994</v>
      </c>
      <c r="O45" s="66">
        <v>0.03</v>
      </c>
      <c r="P45" s="67">
        <f>M44*Table1538[[#This Row],[Tx. % Churn]]</f>
        <v>0.46439999999999998</v>
      </c>
      <c r="Q45" s="62">
        <f>Table1538[[#This Row],[Personais 
Totais]]-Table1538[[#This Row],[Qtde. Churn 
no Mês]]</f>
        <v>16.747201731601731</v>
      </c>
      <c r="R45" s="68">
        <v>15</v>
      </c>
      <c r="S45" s="61">
        <f>S44*1.005</f>
        <v>1356.7499999999998</v>
      </c>
      <c r="T45" s="76">
        <f>Table1538[[#This Row],[Média Alunos Estimada 
Total Personal]]*Table1538[[#This Row],[Ticket Médio Aluno Personal]]</f>
        <v>20351.249999999996</v>
      </c>
      <c r="U45" s="62">
        <f>Table1538[[#This Row],[Personais 
Ativos Mês]]+(Table1538[[#This Row],[Personais 
Ativos Mês]]*Table1538[[#This Row],[Média Alunos Estimada 
Total Personal]])</f>
        <v>267.95522770562769</v>
      </c>
      <c r="V45" s="77">
        <f>Table1538[[#This Row],[Média Faturamento
Estimada Personal]]*Q44</f>
        <v>315037.34999999998</v>
      </c>
      <c r="W45" s="77">
        <f t="shared" si="27"/>
        <v>15751.8675</v>
      </c>
      <c r="X45" s="72">
        <f>Table1538[[#This Row],[Média Alunos Estimada 
Total Personal]]-(Table1538[[#This Row],[Tx. % Real Alunos 
não ativados]]*Table1538[[#This Row],[Média Alunos Estimada 
Total Personal]])</f>
        <v>12.75</v>
      </c>
      <c r="Y45" s="66">
        <v>0.15</v>
      </c>
      <c r="Z45" s="14">
        <f>Table1538[[#This Row],[Ticket Médio Aluno Personal]]*Table1538[[#This Row],[Média Real Alunos 
Ativos Personal]]</f>
        <v>17298.562499999996</v>
      </c>
      <c r="AA45" s="62">
        <f>Table1538[[#This Row],[Média Real Alunos 
Ativos Personal]]*Table1538[[#This Row],[Personais 
Ativos Mês]]</f>
        <v>213.52682207792208</v>
      </c>
      <c r="AB45" s="14">
        <f>Table1538[[#This Row],[Média Real por Personal]]*Q44</f>
        <v>267781.74749999994</v>
      </c>
      <c r="AC45" s="14">
        <f t="shared" ref="AC45:AC56" si="28">IF(Q45&lt;=1000, AB45*5%, (Z45*1000*5%) + ((Q45-1000)*Z45*7.5%))</f>
        <v>13389.087374999997</v>
      </c>
      <c r="AD45" s="14">
        <f>AD44+Table1538[[#This Row],[Faturamento 
Real Bruto]]</f>
        <v>267781.74749999994</v>
      </c>
      <c r="AE45" s="14">
        <f>AE44+Table1538[[#This Row],[Receita MUVX 
(7,5% &gt;= 1000 Personais)]]</f>
        <v>13389.087374999997</v>
      </c>
      <c r="AF45" s="14">
        <f>Table1538[[#This Row],[Investimento no Mês
 (Growth) // 80%]]+AF44</f>
        <v>30104.664000000001</v>
      </c>
      <c r="AG45" s="73">
        <f>Table1538[[#This Row],[Receita MUVX Acumulada]]/Table1538[[#This Row],[Investimento Acumulado]]</f>
        <v>0.44475126428914791</v>
      </c>
      <c r="AH45" s="73">
        <f>Table1538[[#This Row],[ROI]]+AH44</f>
        <v>0.44475126428914791</v>
      </c>
    </row>
    <row r="46" spans="1:34">
      <c r="A46" s="78">
        <v>46082</v>
      </c>
      <c r="B46" s="61">
        <f t="shared" si="25"/>
        <v>800</v>
      </c>
      <c r="C46" s="61">
        <f t="shared" si="26"/>
        <v>13.721399999999999</v>
      </c>
      <c r="D46" s="62">
        <f>Table1538[[#This Row],[Investimento no Mês
 (Growth) // 80%]]/Table1538[[#This Row],[CPL 
(cadastro)]]</f>
        <v>58.303088606118912</v>
      </c>
      <c r="E46" s="63">
        <f t="shared" si="20"/>
        <v>0.2</v>
      </c>
      <c r="F46" s="64">
        <f>Table1538[[#This Row],[Novos Cadastros 
LP]]*Table1538[[#This Row],[Tx. % Install]]</f>
        <v>11.660617721223783</v>
      </c>
      <c r="G46" s="63">
        <f t="shared" si="21"/>
        <v>0.5</v>
      </c>
      <c r="H46" s="64">
        <f>Table1538[[#This Row],[Novos Installs no App]]*Table1538[[#This Row],[Tx % Ativações]]</f>
        <v>5.8303088606118916</v>
      </c>
      <c r="I46" s="63">
        <f t="shared" si="22"/>
        <v>0.3</v>
      </c>
      <c r="J46" s="64">
        <f t="shared" si="23"/>
        <v>0</v>
      </c>
      <c r="K46" s="63">
        <f t="shared" si="24"/>
        <v>0</v>
      </c>
      <c r="L46" s="62">
        <f>(Table1538[[#This Row],[Novos Personais Habilitados]]*(Table1538[[#This Row],[Tx % de Conversão]])+Table1538[[#This Row],[Cadastros Evento Presencial]]*Table1538[[#This Row],[Tx % Ativação Presencial]])</f>
        <v>1.7490926581835675</v>
      </c>
      <c r="M46" s="62">
        <f>Table1538[[#This Row],[Novos Personais Ativados]]+M45</f>
        <v>18.960694389785299</v>
      </c>
      <c r="N46" s="65">
        <f>Table1538[[#This Row],[Investimento no Mês
 (Growth) // 80%]]/Table1538[[#This Row],[Novos Personais Ativados]]</f>
        <v>457.37999999999994</v>
      </c>
      <c r="O46" s="66">
        <v>0.02</v>
      </c>
      <c r="P46" s="67">
        <f>M45*Table1538[[#This Row],[Tx. % Churn]]</f>
        <v>0.34423203463203467</v>
      </c>
      <c r="Q46" s="62">
        <f>Table1538[[#This Row],[Personais 
Totais]]-Table1538[[#This Row],[Qtde. Churn 
no Mês]]</f>
        <v>18.616462355153264</v>
      </c>
      <c r="R46" s="68">
        <v>15</v>
      </c>
      <c r="S46" s="61">
        <f t="shared" ref="S46:S56" si="29">S45*1.015</f>
        <v>1377.1012499999997</v>
      </c>
      <c r="T46" s="76">
        <f>Table1538[[#This Row],[Média Alunos Estimada 
Total Personal]]*Table1538[[#This Row],[Ticket Médio Aluno Personal]]</f>
        <v>20656.518749999996</v>
      </c>
      <c r="U46" s="62">
        <f>Table1538[[#This Row],[Personais 
Ativos Mês]]+(Table1538[[#This Row],[Personais 
Ativos Mês]]*Table1538[[#This Row],[Média Alunos Estimada 
Total Personal]])</f>
        <v>297.86339768245222</v>
      </c>
      <c r="V46" s="77">
        <f>Table1538[[#This Row],[Média Faturamento
Estimada Personal]]*Q45</f>
        <v>345938.88657886354</v>
      </c>
      <c r="W46" s="77">
        <f t="shared" si="27"/>
        <v>17296.944328943177</v>
      </c>
      <c r="X46" s="72">
        <f>Table1538[[#This Row],[Média Alunos Estimada 
Total Personal]]-(Table1538[[#This Row],[Tx. % Real Alunos 
não ativados]]*Table1538[[#This Row],[Média Alunos Estimada 
Total Personal]])</f>
        <v>12.75</v>
      </c>
      <c r="Y46" s="66">
        <v>0.15</v>
      </c>
      <c r="Z46" s="14">
        <f>Table1538[[#This Row],[Ticket Médio Aluno Personal]]*Table1538[[#This Row],[Média Real Alunos 
Ativos Personal]]</f>
        <v>17558.040937499994</v>
      </c>
      <c r="AA46" s="62">
        <f>Table1538[[#This Row],[Média Real Alunos 
Ativos Personal]]*Table1538[[#This Row],[Personais 
Ativos Mês]]</f>
        <v>237.35989502820411</v>
      </c>
      <c r="AB46" s="14">
        <f>Table1538[[#This Row],[Média Real por Personal]]*Q45</f>
        <v>294048.05359203398</v>
      </c>
      <c r="AC46" s="14">
        <f t="shared" si="28"/>
        <v>14702.402679601699</v>
      </c>
      <c r="AD46" s="14">
        <f>AD45+Table1538[[#This Row],[Faturamento 
Real Bruto]]</f>
        <v>561829.80109203397</v>
      </c>
      <c r="AE46" s="14">
        <f>AE45+Table1538[[#This Row],[Receita MUVX 
(7,5% &gt;= 1000 Personais)]]</f>
        <v>28091.490054601694</v>
      </c>
      <c r="AF46" s="14">
        <f>Table1538[[#This Row],[Investimento no Mês
 (Growth) // 80%]]+AF45</f>
        <v>30904.664000000001</v>
      </c>
      <c r="AG46" s="73">
        <f>Table1538[[#This Row],[Receita MUVX Acumulada]]/Table1538[[#This Row],[Investimento Acumulado]]</f>
        <v>0.90897251154717917</v>
      </c>
      <c r="AH46" s="73">
        <f>Table1538[[#This Row],[ROI]]+AH45</f>
        <v>1.3537237758363272</v>
      </c>
    </row>
    <row r="47" spans="1:34">
      <c r="A47" s="60">
        <v>46113</v>
      </c>
      <c r="B47" s="61">
        <f t="shared" si="25"/>
        <v>4000</v>
      </c>
      <c r="C47" s="61">
        <f t="shared" si="26"/>
        <v>13.584185999999999</v>
      </c>
      <c r="D47" s="62">
        <f>Table1538[[#This Row],[Investimento no Mês
 (Growth) // 80%]]/Table1538[[#This Row],[CPL 
(cadastro)]]</f>
        <v>294.46004346524705</v>
      </c>
      <c r="E47" s="63">
        <f t="shared" si="20"/>
        <v>0.2</v>
      </c>
      <c r="F47" s="64">
        <f>Table1538[[#This Row],[Novos Cadastros 
LP]]*Table1538[[#This Row],[Tx. % Install]]</f>
        <v>58.892008693049412</v>
      </c>
      <c r="G47" s="63">
        <f t="shared" si="21"/>
        <v>0.6</v>
      </c>
      <c r="H47" s="64">
        <f>Table1538[[#This Row],[Novos Installs no App]]*Table1538[[#This Row],[Tx % Ativações]]</f>
        <v>35.335205215829646</v>
      </c>
      <c r="I47" s="63">
        <f t="shared" si="22"/>
        <v>0.3</v>
      </c>
      <c r="J47" s="64">
        <f t="shared" si="23"/>
        <v>0</v>
      </c>
      <c r="K47" s="63">
        <f t="shared" si="24"/>
        <v>0</v>
      </c>
      <c r="L47" s="62">
        <f>(Table1538[[#This Row],[Novos Personais Habilitados]]*(Table1538[[#This Row],[Tx % de Conversão]])+Table1538[[#This Row],[Cadastros Evento Presencial]]*Table1538[[#This Row],[Tx % Ativação Presencial]])</f>
        <v>10.600561564748894</v>
      </c>
      <c r="M47" s="62">
        <f>Table1538[[#This Row],[Novos Personais Ativados]]+M46</f>
        <v>29.561255954534193</v>
      </c>
      <c r="N47" s="65">
        <f>Table1538[[#This Row],[Investimento no Mês
 (Growth) // 80%]]/Table1538[[#This Row],[Novos Personais Ativados]]</f>
        <v>377.33849999999995</v>
      </c>
      <c r="O47" s="66">
        <v>0.02</v>
      </c>
      <c r="P47" s="67">
        <f>M46*Table1538[[#This Row],[Tx. % Churn]]</f>
        <v>0.37921388779570597</v>
      </c>
      <c r="Q47" s="62">
        <f>Table1538[[#This Row],[Personais 
Totais]]-Table1538[[#This Row],[Qtde. Churn 
no Mês]]</f>
        <v>29.182042066738486</v>
      </c>
      <c r="R47" s="68">
        <v>15</v>
      </c>
      <c r="S47" s="61">
        <f t="shared" si="29"/>
        <v>1397.7577687499995</v>
      </c>
      <c r="T47" s="76">
        <f>Table1538[[#This Row],[Média Alunos Estimada 
Total Personal]]*Table1538[[#This Row],[Ticket Médio Aluno Personal]]</f>
        <v>20966.366531249994</v>
      </c>
      <c r="U47" s="62">
        <f>Table1538[[#This Row],[Personais 
Ativos Mês]]+(Table1538[[#This Row],[Personais 
Ativos Mês]]*Table1538[[#This Row],[Média Alunos Estimada 
Total Personal]])</f>
        <v>466.91267306781577</v>
      </c>
      <c r="V47" s="77">
        <f>Table1538[[#This Row],[Média Faturamento
Estimada Personal]]*Q46</f>
        <v>390319.57325336081</v>
      </c>
      <c r="W47" s="77">
        <f t="shared" si="27"/>
        <v>19515.97866266804</v>
      </c>
      <c r="X47" s="72">
        <f>Table1538[[#This Row],[Média Alunos Estimada 
Total Personal]]-(Table1538[[#This Row],[Tx. % Real Alunos 
não ativados]]*Table1538[[#This Row],[Média Alunos Estimada 
Total Personal]])</f>
        <v>12.75</v>
      </c>
      <c r="Y47" s="66">
        <v>0.15</v>
      </c>
      <c r="Z47" s="14">
        <f>Table1538[[#This Row],[Ticket Médio Aluno Personal]]*Table1538[[#This Row],[Média Real Alunos 
Ativos Personal]]</f>
        <v>17821.411551562494</v>
      </c>
      <c r="AA47" s="62">
        <f>Table1538[[#This Row],[Média Real Alunos 
Ativos Personal]]*Table1538[[#This Row],[Personais 
Ativos Mês]]</f>
        <v>372.07103635091568</v>
      </c>
      <c r="AB47" s="14">
        <f>Table1538[[#This Row],[Média Real por Personal]]*Q46</f>
        <v>331771.63726535667</v>
      </c>
      <c r="AC47" s="14">
        <f t="shared" si="28"/>
        <v>16588.581863267835</v>
      </c>
      <c r="AD47" s="14">
        <f>AD46+Table1538[[#This Row],[Faturamento 
Real Bruto]]</f>
        <v>893601.4383573907</v>
      </c>
      <c r="AE47" s="14">
        <f>AE46+Table1538[[#This Row],[Receita MUVX 
(7,5% &gt;= 1000 Personais)]]</f>
        <v>44680.071917869529</v>
      </c>
      <c r="AF47" s="14">
        <f>Table1538[[#This Row],[Investimento no Mês
 (Growth) // 80%]]+AF46</f>
        <v>34904.664000000004</v>
      </c>
      <c r="AG47" s="73">
        <f>Table1538[[#This Row],[Receita MUVX Acumulada]]/Table1538[[#This Row],[Investimento Acumulado]]</f>
        <v>1.2800602211174279</v>
      </c>
      <c r="AH47" s="73">
        <f>Table1538[[#This Row],[ROI]]+AH46</f>
        <v>2.6337839969537553</v>
      </c>
    </row>
    <row r="48" spans="1:34">
      <c r="A48" s="78">
        <v>46143</v>
      </c>
      <c r="B48" s="61">
        <f t="shared" si="25"/>
        <v>24000</v>
      </c>
      <c r="C48" s="61">
        <f t="shared" si="26"/>
        <v>13.44834414</v>
      </c>
      <c r="D48" s="62">
        <f>Table1538[[#This Row],[Investimento no Mês
 (Growth) // 80%]]/Table1538[[#This Row],[CPL 
(cadastro)]]</f>
        <v>1784.6063240318001</v>
      </c>
      <c r="E48" s="63">
        <v>0.3</v>
      </c>
      <c r="F48" s="64">
        <f>Table1538[[#This Row],[Novos Cadastros 
LP]]*Table1538[[#This Row],[Tx. % Install]]</f>
        <v>535.38189720954006</v>
      </c>
      <c r="G48" s="63">
        <f t="shared" si="21"/>
        <v>0.6</v>
      </c>
      <c r="H48" s="64">
        <f>Table1538[[#This Row],[Novos Installs no App]]*Table1538[[#This Row],[Tx % Ativações]]</f>
        <v>321.22913832572402</v>
      </c>
      <c r="I48" s="63">
        <f t="shared" si="22"/>
        <v>0.3</v>
      </c>
      <c r="J48" s="64">
        <f t="shared" si="23"/>
        <v>0</v>
      </c>
      <c r="K48" s="63">
        <f t="shared" si="24"/>
        <v>0</v>
      </c>
      <c r="L48" s="62">
        <f>(Table1538[[#This Row],[Novos Personais Habilitados]]*(Table1538[[#This Row],[Tx % de Conversão]])+Table1538[[#This Row],[Cadastros Evento Presencial]]*Table1538[[#This Row],[Tx % Ativação Presencial]])</f>
        <v>96.36874149771721</v>
      </c>
      <c r="M48" s="62">
        <f>Table1538[[#This Row],[Novos Personais Ativados]]+M47</f>
        <v>125.9299974522514</v>
      </c>
      <c r="N48" s="65">
        <f>Table1538[[#This Row],[Investimento no Mês
 (Growth) // 80%]]/Table1538[[#This Row],[Novos Personais Ativados]]</f>
        <v>249.04340999999999</v>
      </c>
      <c r="O48" s="66">
        <v>0.04</v>
      </c>
      <c r="P48" s="67">
        <f>M47*Table1538[[#This Row],[Tx. % Churn]]</f>
        <v>1.1824502381813677</v>
      </c>
      <c r="Q48" s="62">
        <f>Table1538[[#This Row],[Personais 
Totais]]-Table1538[[#This Row],[Qtde. Churn 
no Mês]]</f>
        <v>124.74754721407002</v>
      </c>
      <c r="R48" s="68">
        <v>15</v>
      </c>
      <c r="S48" s="61">
        <f t="shared" si="29"/>
        <v>1418.7241352812493</v>
      </c>
      <c r="T48" s="76">
        <f>Table1538[[#This Row],[Média Alunos Estimada 
Total Personal]]*Table1538[[#This Row],[Ticket Médio Aluno Personal]]</f>
        <v>21280.862029218741</v>
      </c>
      <c r="U48" s="62">
        <f>Table1538[[#This Row],[Personais 
Ativos Mês]]+(Table1538[[#This Row],[Personais 
Ativos Mês]]*Table1538[[#This Row],[Média Alunos Estimada 
Total Personal]])</f>
        <v>1995.9607554251204</v>
      </c>
      <c r="V48" s="77">
        <f>Table1538[[#This Row],[Média Faturamento
Estimada Personal]]*Q47</f>
        <v>621019.01095311902</v>
      </c>
      <c r="W48" s="77">
        <f t="shared" si="27"/>
        <v>31050.950547655953</v>
      </c>
      <c r="X48" s="72">
        <f>Table1538[[#This Row],[Média Alunos Estimada 
Total Personal]]-(Table1538[[#This Row],[Tx. % Real Alunos 
não ativados]]*Table1538[[#This Row],[Média Alunos Estimada 
Total Personal]])</f>
        <v>12.75</v>
      </c>
      <c r="Y48" s="66">
        <v>0.15</v>
      </c>
      <c r="Z48" s="14">
        <f>Table1538[[#This Row],[Ticket Médio Aluno Personal]]*Table1538[[#This Row],[Média Real Alunos 
Ativos Personal]]</f>
        <v>18088.732724835929</v>
      </c>
      <c r="AA48" s="62">
        <f>Table1538[[#This Row],[Média Real Alunos 
Ativos Personal]]*Table1538[[#This Row],[Personais 
Ativos Mês]]</f>
        <v>1590.5312269793928</v>
      </c>
      <c r="AB48" s="14">
        <f>Table1538[[#This Row],[Média Real por Personal]]*Q47</f>
        <v>527866.15931015112</v>
      </c>
      <c r="AC48" s="14">
        <f t="shared" si="28"/>
        <v>26393.307965507556</v>
      </c>
      <c r="AD48" s="14">
        <f>AD47+Table1538[[#This Row],[Faturamento 
Real Bruto]]</f>
        <v>1421467.5976675418</v>
      </c>
      <c r="AE48" s="14">
        <f>AE47+Table1538[[#This Row],[Receita MUVX 
(7,5% &gt;= 1000 Personais)]]</f>
        <v>71073.379883377085</v>
      </c>
      <c r="AF48" s="14">
        <f>Table1538[[#This Row],[Investimento no Mês
 (Growth) // 80%]]+AF47</f>
        <v>58904.664000000004</v>
      </c>
      <c r="AG48" s="73">
        <f>Table1538[[#This Row],[Receita MUVX Acumulada]]/Table1538[[#This Row],[Investimento Acumulado]]</f>
        <v>1.2065832322441747</v>
      </c>
      <c r="AH48" s="73">
        <f>Table1538[[#This Row],[ROI]]+AH47</f>
        <v>3.8403672291979301</v>
      </c>
    </row>
    <row r="49" spans="1:36">
      <c r="A49" s="60">
        <v>46174</v>
      </c>
      <c r="B49" s="61">
        <f t="shared" si="25"/>
        <v>80000</v>
      </c>
      <c r="C49" s="61">
        <f t="shared" si="26"/>
        <v>13.313860698599999</v>
      </c>
      <c r="D49" s="62">
        <f>Table1538[[#This Row],[Investimento no Mês
 (Growth) // 80%]]/Table1538[[#This Row],[CPL 
(cadastro)]]</f>
        <v>6008.7755017905729</v>
      </c>
      <c r="E49" s="63">
        <f t="shared" si="20"/>
        <v>0.3</v>
      </c>
      <c r="F49" s="64">
        <f>Table1538[[#This Row],[Novos Cadastros 
LP]]*Table1538[[#This Row],[Tx. % Install]]</f>
        <v>1802.6326505371719</v>
      </c>
      <c r="G49" s="63">
        <f t="shared" si="21"/>
        <v>0.6</v>
      </c>
      <c r="H49" s="64">
        <f>Table1538[[#This Row],[Novos Installs no App]]*Table1538[[#This Row],[Tx % Ativações]]</f>
        <v>1081.5795903223031</v>
      </c>
      <c r="I49" s="63">
        <f t="shared" si="22"/>
        <v>0.3</v>
      </c>
      <c r="J49" s="64">
        <f t="shared" si="23"/>
        <v>0</v>
      </c>
      <c r="K49" s="63">
        <f t="shared" si="24"/>
        <v>0.2</v>
      </c>
      <c r="L49" s="62">
        <f>(Table1538[[#This Row],[Novos Personais Habilitados]]*(Table1538[[#This Row],[Tx % de Conversão]])+Table1538[[#This Row],[Cadastros Evento Presencial]]*Table1538[[#This Row],[Tx % Ativação Presencial]])</f>
        <v>324.47387709669096</v>
      </c>
      <c r="M49" s="62">
        <f>Table1538[[#This Row],[Novos Personais Ativados]]+M48</f>
        <v>450.40387454894233</v>
      </c>
      <c r="N49" s="65">
        <f>Table1538[[#This Row],[Investimento no Mês
 (Growth) // 80%]]/Table1538[[#This Row],[Novos Personais Ativados]]</f>
        <v>246.55297589999998</v>
      </c>
      <c r="O49" s="66">
        <v>0.02</v>
      </c>
      <c r="P49" s="67">
        <f>M48*Table1538[[#This Row],[Tx. % Churn]]</f>
        <v>2.5185999490450279</v>
      </c>
      <c r="Q49" s="62">
        <f>Table1538[[#This Row],[Personais 
Totais]]-Table1538[[#This Row],[Qtde. Churn 
no Mês]]</f>
        <v>447.88527459989729</v>
      </c>
      <c r="R49" s="68">
        <v>15</v>
      </c>
      <c r="S49" s="61">
        <f t="shared" si="29"/>
        <v>1440.0049973104678</v>
      </c>
      <c r="T49" s="76">
        <f>Table1538[[#This Row],[Média Alunos Estimada 
Total Personal]]*Table1538[[#This Row],[Ticket Médio Aluno Personal]]</f>
        <v>21600.074959657017</v>
      </c>
      <c r="U49" s="62">
        <f>Table1538[[#This Row],[Personais 
Ativos Mês]]+(Table1538[[#This Row],[Personais 
Ativos Mês]]*Table1538[[#This Row],[Média Alunos Estimada 
Total Personal]])</f>
        <v>7166.1643935983566</v>
      </c>
      <c r="V49" s="77">
        <f>Table1538[[#This Row],[Média Faturamento
Estimada Personal]]*Q48</f>
        <v>2694556.3708572653</v>
      </c>
      <c r="W49" s="77">
        <f t="shared" si="27"/>
        <v>134727.81854286327</v>
      </c>
      <c r="X49" s="72">
        <f>Table1538[[#This Row],[Média Alunos Estimada 
Total Personal]]-(Table1538[[#This Row],[Tx. % Real Alunos 
não ativados]]*Table1538[[#This Row],[Média Alunos Estimada 
Total Personal]])</f>
        <v>12.75</v>
      </c>
      <c r="Y49" s="66">
        <v>0.15</v>
      </c>
      <c r="Z49" s="14">
        <f>Table1538[[#This Row],[Ticket Médio Aluno Personal]]*Table1538[[#This Row],[Média Real Alunos 
Ativos Personal]]</f>
        <v>18360.063715708464</v>
      </c>
      <c r="AA49" s="62">
        <f>Table1538[[#This Row],[Média Real Alunos 
Ativos Personal]]*Table1538[[#This Row],[Personais 
Ativos Mês]]</f>
        <v>5710.5372511486903</v>
      </c>
      <c r="AB49" s="14">
        <f>Table1538[[#This Row],[Média Real por Personal]]*Q48</f>
        <v>2290372.9152286756</v>
      </c>
      <c r="AC49" s="14">
        <f t="shared" si="28"/>
        <v>114518.64576143379</v>
      </c>
      <c r="AD49" s="14">
        <f>AD48+Table1538[[#This Row],[Faturamento 
Real Bruto]]</f>
        <v>3711840.5128962174</v>
      </c>
      <c r="AE49" s="14">
        <f>AE48+Table1538[[#This Row],[Receita MUVX 
(7,5% &gt;= 1000 Personais)]]</f>
        <v>185592.02564481087</v>
      </c>
      <c r="AF49" s="14">
        <f>Table1538[[#This Row],[Investimento no Mês
 (Growth) // 80%]]+AF48</f>
        <v>138904.66399999999</v>
      </c>
      <c r="AG49" s="73">
        <f>Table1538[[#This Row],[Receita MUVX Acumulada]]/Table1538[[#This Row],[Investimento Acumulado]]</f>
        <v>1.3361108281058935</v>
      </c>
      <c r="AH49" s="73">
        <f>Table1538[[#This Row],[ROI]]+AH48</f>
        <v>5.1764780573038234</v>
      </c>
    </row>
    <row r="50" spans="1:36">
      <c r="A50" s="78">
        <v>46204</v>
      </c>
      <c r="B50" s="61">
        <f t="shared" si="25"/>
        <v>80000</v>
      </c>
      <c r="C50" s="61">
        <f t="shared" si="26"/>
        <v>13.180722091613999</v>
      </c>
      <c r="D50" s="62">
        <f>Table1538[[#This Row],[Investimento no Mês
 (Growth) // 80%]]/Table1538[[#This Row],[CPL 
(cadastro)]]</f>
        <v>6069.4702038288615</v>
      </c>
      <c r="E50" s="63">
        <f t="shared" si="20"/>
        <v>0.3</v>
      </c>
      <c r="F50" s="64">
        <f>Table1538[[#This Row],[Novos Cadastros 
LP]]*Table1538[[#This Row],[Tx. % Install]]</f>
        <v>1820.8410611486584</v>
      </c>
      <c r="G50" s="63">
        <f t="shared" si="21"/>
        <v>0.6</v>
      </c>
      <c r="H50" s="64">
        <f>Table1538[[#This Row],[Novos Installs no App]]*Table1538[[#This Row],[Tx % Ativações]]</f>
        <v>1092.504636689195</v>
      </c>
      <c r="I50" s="63">
        <f t="shared" si="22"/>
        <v>0.3</v>
      </c>
      <c r="J50" s="64">
        <f t="shared" si="23"/>
        <v>0</v>
      </c>
      <c r="K50" s="63">
        <f t="shared" si="24"/>
        <v>0</v>
      </c>
      <c r="L50" s="62">
        <f>(Table1538[[#This Row],[Novos Personais Habilitados]]*(Table1538[[#This Row],[Tx % de Conversão]])+Table1538[[#This Row],[Cadastros Evento Presencial]]*Table1538[[#This Row],[Tx % Ativação Presencial]])</f>
        <v>327.75139100675847</v>
      </c>
      <c r="M50" s="62">
        <f>Table1538[[#This Row],[Novos Personais Ativados]]+M49</f>
        <v>778.15526555570079</v>
      </c>
      <c r="N50" s="65">
        <f>Table1538[[#This Row],[Investimento no Mês
 (Growth) // 80%]]/Table1538[[#This Row],[Novos Personais Ativados]]</f>
        <v>244.08744614100004</v>
      </c>
      <c r="O50" s="66">
        <v>0.02</v>
      </c>
      <c r="P50" s="67">
        <f>M49*Table1538[[#This Row],[Tx. % Churn]]</f>
        <v>9.008077490978847</v>
      </c>
      <c r="Q50" s="62">
        <f>Table1538[[#This Row],[Personais 
Totais]]-Table1538[[#This Row],[Qtde. Churn 
no Mês]]</f>
        <v>769.14718806472195</v>
      </c>
      <c r="R50" s="68">
        <v>15</v>
      </c>
      <c r="S50" s="61">
        <f t="shared" si="29"/>
        <v>1461.6050722701248</v>
      </c>
      <c r="T50" s="76">
        <f>Table1538[[#This Row],[Média Alunos Estimada 
Total Personal]]*Table1538[[#This Row],[Ticket Médio Aluno Personal]]</f>
        <v>21924.076084051871</v>
      </c>
      <c r="U50" s="62">
        <f>Table1538[[#This Row],[Personais 
Ativos Mês]]+(Table1538[[#This Row],[Personais 
Ativos Mês]]*Table1538[[#This Row],[Média Alunos Estimada 
Total Personal]])</f>
        <v>12306.355009035551</v>
      </c>
      <c r="V50" s="77">
        <f>Table1538[[#This Row],[Média Faturamento
Estimada Personal]]*Q49</f>
        <v>9819470.8372546136</v>
      </c>
      <c r="W50" s="77">
        <f t="shared" si="27"/>
        <v>490973.54186273069</v>
      </c>
      <c r="X50" s="72">
        <f>Table1538[[#This Row],[Média Alunos Estimada 
Total Personal]]-(Table1538[[#This Row],[Tx. % Real Alunos 
não ativados]]*Table1538[[#This Row],[Média Alunos Estimada 
Total Personal]])</f>
        <v>12.75</v>
      </c>
      <c r="Y50" s="66">
        <v>0.15</v>
      </c>
      <c r="Z50" s="14">
        <f>Table1538[[#This Row],[Ticket Médio Aluno Personal]]*Table1538[[#This Row],[Média Real Alunos 
Ativos Personal]]</f>
        <v>18635.46467144409</v>
      </c>
      <c r="AA50" s="62">
        <f>Table1538[[#This Row],[Média Real Alunos 
Ativos Personal]]*Table1538[[#This Row],[Personais 
Ativos Mês]]</f>
        <v>9806.6266478252055</v>
      </c>
      <c r="AB50" s="14">
        <f>Table1538[[#This Row],[Média Real por Personal]]*Q49</f>
        <v>8346550.211666421</v>
      </c>
      <c r="AC50" s="14">
        <f t="shared" si="28"/>
        <v>417327.5105833211</v>
      </c>
      <c r="AD50" s="14">
        <f>AD49+Table1538[[#This Row],[Faturamento 
Real Bruto]]</f>
        <v>12058390.724562638</v>
      </c>
      <c r="AE50" s="14">
        <f>AE49+Table1538[[#This Row],[Receita MUVX 
(7,5% &gt;= 1000 Personais)]]</f>
        <v>602919.53622813197</v>
      </c>
      <c r="AF50" s="14">
        <f>Table1538[[#This Row],[Investimento no Mês
 (Growth) // 80%]]+AF49</f>
        <v>218904.66399999999</v>
      </c>
      <c r="AG50" s="73">
        <f>Table1538[[#This Row],[Receita MUVX Acumulada]]/Table1538[[#This Row],[Investimento Acumulado]]</f>
        <v>2.7542562374465076</v>
      </c>
      <c r="AH50" s="73">
        <f>Table1538[[#This Row],[ROI]]+AH49</f>
        <v>7.930734294750331</v>
      </c>
    </row>
    <row r="51" spans="1:36">
      <c r="A51" s="60">
        <v>46235</v>
      </c>
      <c r="B51" s="61">
        <f t="shared" si="25"/>
        <v>80000</v>
      </c>
      <c r="C51" s="61">
        <f t="shared" si="26"/>
        <v>13.048914870697859</v>
      </c>
      <c r="D51" s="62">
        <f>Table1538[[#This Row],[Investimento no Mês
 (Growth) // 80%]]/Table1538[[#This Row],[CPL 
(cadastro)]]</f>
        <v>6130.7779836655172</v>
      </c>
      <c r="E51" s="63">
        <f t="shared" si="20"/>
        <v>0.3</v>
      </c>
      <c r="F51" s="64">
        <f>Table1538[[#This Row],[Novos Cadastros 
LP]]*Table1538[[#This Row],[Tx. % Install]]</f>
        <v>1839.2333950996551</v>
      </c>
      <c r="G51" s="63">
        <f t="shared" si="21"/>
        <v>0.6</v>
      </c>
      <c r="H51" s="64">
        <f>Table1538[[#This Row],[Novos Installs no App]]*Table1538[[#This Row],[Tx % Ativações]]</f>
        <v>1103.5400370597931</v>
      </c>
      <c r="I51" s="63">
        <f t="shared" si="22"/>
        <v>0.3</v>
      </c>
      <c r="J51" s="64">
        <f t="shared" si="23"/>
        <v>0</v>
      </c>
      <c r="K51" s="63">
        <f t="shared" si="24"/>
        <v>0</v>
      </c>
      <c r="L51" s="62">
        <f>(Table1538[[#This Row],[Novos Personais Habilitados]]*(Table1538[[#This Row],[Tx % de Conversão]])+Table1538[[#This Row],[Cadastros Evento Presencial]]*Table1538[[#This Row],[Tx % Ativação Presencial]])</f>
        <v>331.06201111793791</v>
      </c>
      <c r="M51" s="62">
        <f>Table1538[[#This Row],[Novos Personais Ativados]]+M50</f>
        <v>1109.2172766736387</v>
      </c>
      <c r="N51" s="65">
        <f>Table1538[[#This Row],[Investimento no Mês
 (Growth) // 80%]]/Table1538[[#This Row],[Novos Personais Ativados]]</f>
        <v>241.64657167958998</v>
      </c>
      <c r="O51" s="66">
        <v>0.02</v>
      </c>
      <c r="P51" s="67">
        <f>M50*Table1538[[#This Row],[Tx. % Churn]]</f>
        <v>15.563105311114017</v>
      </c>
      <c r="Q51" s="62">
        <f>Table1538[[#This Row],[Personais 
Totais]]-Table1538[[#This Row],[Qtde. Churn 
no Mês]]</f>
        <v>1093.6541713625247</v>
      </c>
      <c r="R51" s="68">
        <v>15</v>
      </c>
      <c r="S51" s="61">
        <f t="shared" si="29"/>
        <v>1483.5291483541764</v>
      </c>
      <c r="T51" s="76">
        <f>Table1538[[#This Row],[Média Alunos Estimada 
Total Personal]]*Table1538[[#This Row],[Ticket Médio Aluno Personal]]</f>
        <v>22252.937225312646</v>
      </c>
      <c r="U51" s="62">
        <f>Table1538[[#This Row],[Personais 
Ativos Mês]]+(Table1538[[#This Row],[Personais 
Ativos Mês]]*Table1538[[#This Row],[Média Alunos Estimada 
Total Personal]])</f>
        <v>17498.466741800396</v>
      </c>
      <c r="V51" s="77">
        <f>Table1538[[#This Row],[Média Faturamento
Estimada Personal]]*Q50</f>
        <v>17115784.093029998</v>
      </c>
      <c r="W51" s="77">
        <f t="shared" si="27"/>
        <v>1268952.8909820525</v>
      </c>
      <c r="X51" s="72">
        <f>Table1538[[#This Row],[Média Alunos Estimada 
Total Personal]]-(Table1538[[#This Row],[Tx. % Real Alunos 
não ativados]]*Table1538[[#This Row],[Média Alunos Estimada 
Total Personal]])</f>
        <v>12.75</v>
      </c>
      <c r="Y51" s="66">
        <v>0.15</v>
      </c>
      <c r="Z51" s="14">
        <f>Table1538[[#This Row],[Ticket Médio Aluno Personal]]*Table1538[[#This Row],[Média Real Alunos 
Ativos Personal]]</f>
        <v>18914.996641515751</v>
      </c>
      <c r="AA51" s="62">
        <f>Table1538[[#This Row],[Média Real Alunos 
Ativos Personal]]*Table1538[[#This Row],[Personais 
Ativos Mês]]</f>
        <v>13944.09068487219</v>
      </c>
      <c r="AB51" s="14">
        <f>Table1538[[#This Row],[Média Real por Personal]]*Q50</f>
        <v>14548416.479075499</v>
      </c>
      <c r="AC51" s="14">
        <f t="shared" si="28"/>
        <v>1078609.9573347447</v>
      </c>
      <c r="AD51" s="14">
        <f>AD50+Table1538[[#This Row],[Faturamento 
Real Bruto]]</f>
        <v>26606807.203638136</v>
      </c>
      <c r="AE51" s="14">
        <f>AE50+Table1538[[#This Row],[Receita MUVX 
(7,5% &gt;= 1000 Personais)]]</f>
        <v>1681529.4935628767</v>
      </c>
      <c r="AF51" s="14">
        <f>Table1538[[#This Row],[Investimento no Mês
 (Growth) // 80%]]+AF50</f>
        <v>298904.66399999999</v>
      </c>
      <c r="AG51" s="73">
        <f>Table1538[[#This Row],[Receita MUVX Acumulada]]/Table1538[[#This Row],[Investimento Acumulado]]</f>
        <v>5.6256381919918006</v>
      </c>
      <c r="AH51" s="73">
        <f>Table1538[[#This Row],[ROI]]+AH50</f>
        <v>13.556372486742131</v>
      </c>
    </row>
    <row r="52" spans="1:36">
      <c r="A52" s="78">
        <v>46266</v>
      </c>
      <c r="B52" s="61">
        <f t="shared" si="25"/>
        <v>80000</v>
      </c>
      <c r="C52" s="61">
        <f t="shared" si="26"/>
        <v>12.91842572199088</v>
      </c>
      <c r="D52" s="62">
        <f>Table1538[[#This Row],[Investimento no Mês
 (Growth) // 80%]]/Table1538[[#This Row],[CPL 
(cadastro)]]</f>
        <v>6192.705034005573</v>
      </c>
      <c r="E52" s="63">
        <f t="shared" si="20"/>
        <v>0.3</v>
      </c>
      <c r="F52" s="64">
        <f>Table1538[[#This Row],[Novos Cadastros 
LP]]*Table1538[[#This Row],[Tx. % Install]]</f>
        <v>1857.8115102016718</v>
      </c>
      <c r="G52" s="63">
        <f t="shared" si="21"/>
        <v>0.6</v>
      </c>
      <c r="H52" s="64">
        <f>Table1538[[#This Row],[Novos Installs no App]]*Table1538[[#This Row],[Tx % Ativações]]</f>
        <v>1114.6869061210029</v>
      </c>
      <c r="I52" s="63">
        <f t="shared" si="22"/>
        <v>0.3</v>
      </c>
      <c r="J52" s="64">
        <f t="shared" si="23"/>
        <v>0</v>
      </c>
      <c r="K52" s="63">
        <f t="shared" si="24"/>
        <v>0</v>
      </c>
      <c r="L52" s="62">
        <f>(Table1538[[#This Row],[Novos Personais Habilitados]]*(Table1538[[#This Row],[Tx % de Conversão]])+Table1538[[#This Row],[Cadastros Evento Presencial]]*Table1538[[#This Row],[Tx % Ativação Presencial]])</f>
        <v>334.4060718363009</v>
      </c>
      <c r="M52" s="62">
        <f>Table1538[[#This Row],[Novos Personais Ativados]]+M51</f>
        <v>1443.6233485099397</v>
      </c>
      <c r="N52" s="65">
        <f>Table1538[[#This Row],[Investimento no Mês
 (Growth) // 80%]]/Table1538[[#This Row],[Novos Personais Ativados]]</f>
        <v>239.23010596279411</v>
      </c>
      <c r="O52" s="66">
        <v>0.03</v>
      </c>
      <c r="P52" s="67">
        <f>M51*Table1538[[#This Row],[Tx. % Churn]]</f>
        <v>33.276518300209162</v>
      </c>
      <c r="Q52" s="62">
        <f>Table1538[[#This Row],[Personais 
Totais]]-Table1538[[#This Row],[Qtde. Churn 
no Mês]]</f>
        <v>1410.3468302097306</v>
      </c>
      <c r="R52" s="68">
        <v>15</v>
      </c>
      <c r="S52" s="61">
        <f t="shared" si="29"/>
        <v>1505.7820855794889</v>
      </c>
      <c r="T52" s="76">
        <f>Table1538[[#This Row],[Média Alunos Estimada 
Total Personal]]*Table1538[[#This Row],[Ticket Médio Aluno Personal]]</f>
        <v>22586.731283692334</v>
      </c>
      <c r="U52" s="62">
        <f>Table1538[[#This Row],[Personais 
Ativos Mês]]+(Table1538[[#This Row],[Personais 
Ativos Mês]]*Table1538[[#This Row],[Média Alunos Estimada 
Total Personal]])</f>
        <v>22565.549283355689</v>
      </c>
      <c r="V52" s="77">
        <f>Table1538[[#This Row],[Média Faturamento
Estimada Personal]]*Q51</f>
        <v>24702072.885854553</v>
      </c>
      <c r="W52" s="77">
        <f t="shared" si="27"/>
        <v>1824466.0832142748</v>
      </c>
      <c r="X52" s="72">
        <f>Table1538[[#This Row],[Média Alunos Estimada 
Total Personal]]-(Table1538[[#This Row],[Tx. % Real Alunos 
não ativados]]*Table1538[[#This Row],[Média Alunos Estimada 
Total Personal]])</f>
        <v>12.75</v>
      </c>
      <c r="Y52" s="66">
        <v>0.15</v>
      </c>
      <c r="Z52" s="14">
        <f>Table1538[[#This Row],[Ticket Médio Aluno Personal]]*Table1538[[#This Row],[Média Real Alunos 
Ativos Personal]]</f>
        <v>19198.721591138485</v>
      </c>
      <c r="AA52" s="62">
        <f>Table1538[[#This Row],[Média Real Alunos 
Ativos Personal]]*Table1538[[#This Row],[Personais 
Ativos Mês]]</f>
        <v>17981.922085174065</v>
      </c>
      <c r="AB52" s="14">
        <f>Table1538[[#This Row],[Média Real por Personal]]*Q51</f>
        <v>20996761.952976372</v>
      </c>
      <c r="AC52" s="14">
        <f t="shared" si="28"/>
        <v>1550796.1707321336</v>
      </c>
      <c r="AD52" s="14">
        <f>AD51+Table1538[[#This Row],[Faturamento 
Real Bruto]]</f>
        <v>47603569.156614512</v>
      </c>
      <c r="AE52" s="14">
        <f>AE51+Table1538[[#This Row],[Receita MUVX 
(7,5% &gt;= 1000 Personais)]]</f>
        <v>3232325.6642950103</v>
      </c>
      <c r="AF52" s="14">
        <f>Table1538[[#This Row],[Investimento no Mês
 (Growth) // 80%]]+AF51</f>
        <v>378904.66399999999</v>
      </c>
      <c r="AG52" s="73">
        <f>Table1538[[#This Row],[Receita MUVX Acumulada]]/Table1538[[#This Row],[Investimento Acumulado]]</f>
        <v>8.5307096254033183</v>
      </c>
      <c r="AH52" s="73">
        <f>Table1538[[#This Row],[ROI]]+AH51</f>
        <v>22.087082112145449</v>
      </c>
    </row>
    <row r="53" spans="1:36">
      <c r="A53" s="60">
        <v>46296</v>
      </c>
      <c r="B53" s="61">
        <f t="shared" si="25"/>
        <v>80000</v>
      </c>
      <c r="C53" s="61">
        <f t="shared" si="26"/>
        <v>12.789241464770971</v>
      </c>
      <c r="D53" s="62">
        <f>Table1538[[#This Row],[Investimento no Mês
 (Growth) // 80%]]/Table1538[[#This Row],[CPL 
(cadastro)]]</f>
        <v>6255.2576101066397</v>
      </c>
      <c r="E53" s="63">
        <f t="shared" si="20"/>
        <v>0.3</v>
      </c>
      <c r="F53" s="64">
        <f>Table1538[[#This Row],[Novos Cadastros 
LP]]*Table1538[[#This Row],[Tx. % Install]]</f>
        <v>1876.5772830319918</v>
      </c>
      <c r="G53" s="63">
        <f t="shared" si="21"/>
        <v>0.6</v>
      </c>
      <c r="H53" s="64">
        <f>Table1538[[#This Row],[Novos Installs no App]]*Table1538[[#This Row],[Tx % Ativações]]</f>
        <v>1125.9463698191951</v>
      </c>
      <c r="I53" s="63">
        <f t="shared" si="22"/>
        <v>0.3</v>
      </c>
      <c r="J53" s="64">
        <f t="shared" si="23"/>
        <v>0</v>
      </c>
      <c r="K53" s="63">
        <f t="shared" si="24"/>
        <v>0</v>
      </c>
      <c r="L53" s="62">
        <f>(Table1538[[#This Row],[Novos Personais Habilitados]]*(Table1538[[#This Row],[Tx % de Conversão]])+Table1538[[#This Row],[Cadastros Evento Presencial]]*Table1538[[#This Row],[Tx % Ativação Presencial]])</f>
        <v>337.78391094575852</v>
      </c>
      <c r="M53" s="62">
        <f>Table1538[[#This Row],[Novos Personais Ativados]]+M52</f>
        <v>1781.4072594556983</v>
      </c>
      <c r="N53" s="65">
        <f>Table1538[[#This Row],[Investimento no Mês
 (Growth) // 80%]]/Table1538[[#This Row],[Novos Personais Ativados]]</f>
        <v>236.83780490316613</v>
      </c>
      <c r="O53" s="66">
        <v>0.02</v>
      </c>
      <c r="P53" s="67">
        <f>M52*Table1538[[#This Row],[Tx. % Churn]]</f>
        <v>28.872466970198793</v>
      </c>
      <c r="Q53" s="62">
        <f>Table1538[[#This Row],[Personais 
Totais]]-Table1538[[#This Row],[Qtde. Churn 
no Mês]]</f>
        <v>1752.5347924854996</v>
      </c>
      <c r="R53" s="68">
        <v>15</v>
      </c>
      <c r="S53" s="61">
        <f t="shared" si="29"/>
        <v>1528.3688168631811</v>
      </c>
      <c r="T53" s="76">
        <f>Table1538[[#This Row],[Média Alunos Estimada 
Total Personal]]*Table1538[[#This Row],[Ticket Médio Aluno Personal]]</f>
        <v>22925.532252947716</v>
      </c>
      <c r="U53" s="62">
        <f>Table1538[[#This Row],[Personais 
Ativos Mês]]+(Table1538[[#This Row],[Personais 
Ativos Mês]]*Table1538[[#This Row],[Média Alunos Estimada 
Total Personal]])</f>
        <v>28040.556679767993</v>
      </c>
      <c r="V53" s="77">
        <f>Table1538[[#This Row],[Média Faturamento
Estimada Personal]]*Q52</f>
        <v>32332951.743815754</v>
      </c>
      <c r="W53" s="77">
        <f t="shared" si="27"/>
        <v>2440196.1618917584</v>
      </c>
      <c r="X53" s="72">
        <f>Table1538[[#This Row],[Média Alunos Estimada 
Total Personal]]-(Table1538[[#This Row],[Tx. % Real Alunos 
não ativados]]*Table1538[[#This Row],[Média Alunos Estimada 
Total Personal]])</f>
        <v>12.75</v>
      </c>
      <c r="Y53" s="66">
        <v>0.15</v>
      </c>
      <c r="Z53" s="14">
        <f>Table1538[[#This Row],[Ticket Médio Aluno Personal]]*Table1538[[#This Row],[Média Real Alunos 
Ativos Personal]]</f>
        <v>19486.702415005559</v>
      </c>
      <c r="AA53" s="62">
        <f>Table1538[[#This Row],[Média Real Alunos 
Ativos Personal]]*Table1538[[#This Row],[Personais 
Ativos Mês]]</f>
        <v>22344.818604190121</v>
      </c>
      <c r="AB53" s="14">
        <f>Table1538[[#This Row],[Média Real por Personal]]*Q52</f>
        <v>27483008.982243393</v>
      </c>
      <c r="AC53" s="14">
        <f t="shared" si="28"/>
        <v>2074166.7376079946</v>
      </c>
      <c r="AD53" s="14">
        <f>AD52+Table1538[[#This Row],[Faturamento 
Real Bruto]]</f>
        <v>75086578.138857901</v>
      </c>
      <c r="AE53" s="14">
        <f>AE52+Table1538[[#This Row],[Receita MUVX 
(7,5% &gt;= 1000 Personais)]]</f>
        <v>5306492.4019030053</v>
      </c>
      <c r="AF53" s="14">
        <f>Table1538[[#This Row],[Investimento no Mês
 (Growth) // 80%]]+AF52</f>
        <v>458904.66399999999</v>
      </c>
      <c r="AG53" s="73">
        <f>Table1538[[#This Row],[Receita MUVX Acumulada]]/Table1538[[#This Row],[Investimento Acumulado]]</f>
        <v>11.563387383447918</v>
      </c>
      <c r="AH53" s="73">
        <f>Table1538[[#This Row],[ROI]]+AH52</f>
        <v>33.65046949559337</v>
      </c>
    </row>
    <row r="54" spans="1:36">
      <c r="A54" s="78">
        <v>46327</v>
      </c>
      <c r="B54" s="61">
        <f t="shared" si="25"/>
        <v>80000</v>
      </c>
      <c r="C54" s="61">
        <f t="shared" si="26"/>
        <v>12.661349050123262</v>
      </c>
      <c r="D54" s="62">
        <f>Table1538[[#This Row],[Investimento no Mês
 (Growth) // 80%]]/Table1538[[#This Row],[CPL 
(cadastro)]]</f>
        <v>6318.4420304107471</v>
      </c>
      <c r="E54" s="63">
        <f t="shared" si="20"/>
        <v>0.3</v>
      </c>
      <c r="F54" s="64">
        <f>Table1538[[#This Row],[Novos Cadastros 
LP]]*Table1538[[#This Row],[Tx. % Install]]</f>
        <v>1895.5326091232241</v>
      </c>
      <c r="G54" s="63">
        <f t="shared" si="21"/>
        <v>0.6</v>
      </c>
      <c r="H54" s="64">
        <f>Table1538[[#This Row],[Novos Installs no App]]*Table1538[[#This Row],[Tx % Ativações]]</f>
        <v>1137.3195654739345</v>
      </c>
      <c r="I54" s="63">
        <f t="shared" si="22"/>
        <v>0.3</v>
      </c>
      <c r="J54" s="64">
        <f t="shared" si="23"/>
        <v>0</v>
      </c>
      <c r="K54" s="63">
        <f t="shared" si="24"/>
        <v>0</v>
      </c>
      <c r="L54" s="62">
        <f>(Table1538[[#This Row],[Novos Personais Habilitados]]*(Table1538[[#This Row],[Tx % de Conversão]])+Table1538[[#This Row],[Cadastros Evento Presencial]]*Table1538[[#This Row],[Tx % Ativação Presencial]])</f>
        <v>341.19586964218036</v>
      </c>
      <c r="M54" s="62">
        <f>Table1538[[#This Row],[Novos Personais Ativados]]+M53</f>
        <v>2122.6031290978785</v>
      </c>
      <c r="N54" s="65">
        <f>Table1538[[#This Row],[Investimento no Mês
 (Growth) // 80%]]/Table1538[[#This Row],[Novos Personais Ativados]]</f>
        <v>234.46942685413444</v>
      </c>
      <c r="O54" s="66">
        <v>0.03</v>
      </c>
      <c r="P54" s="67">
        <f>M53*Table1538[[#This Row],[Tx. % Churn]]</f>
        <v>53.442217783670948</v>
      </c>
      <c r="Q54" s="62">
        <f>Table1538[[#This Row],[Personais 
Totais]]-Table1538[[#This Row],[Qtde. Churn 
no Mês]]</f>
        <v>2069.1609113142076</v>
      </c>
      <c r="R54" s="68">
        <v>15</v>
      </c>
      <c r="S54" s="61">
        <f t="shared" si="29"/>
        <v>1551.2943491161286</v>
      </c>
      <c r="T54" s="76">
        <f>Table1538[[#This Row],[Média Alunos Estimada 
Total Personal]]*Table1538[[#This Row],[Ticket Médio Aluno Personal]]</f>
        <v>23269.41523674193</v>
      </c>
      <c r="U54" s="62">
        <f>Table1538[[#This Row],[Personais 
Ativos Mês]]+(Table1538[[#This Row],[Personais 
Ativos Mês]]*Table1538[[#This Row],[Média Alunos Estimada 
Total Personal]])</f>
        <v>33106.574581027322</v>
      </c>
      <c r="V54" s="77">
        <f>Table1538[[#This Row],[Média Faturamento
Estimada Personal]]*Q53</f>
        <v>40780459.803182438</v>
      </c>
      <c r="W54" s="77">
        <f t="shared" si="27"/>
        <v>3029376.9518568749</v>
      </c>
      <c r="X54" s="72">
        <f>Table1538[[#This Row],[Média Alunos Estimada 
Total Personal]]-(Table1538[[#This Row],[Tx. % Real Alunos 
não ativados]]*Table1538[[#This Row],[Média Alunos Estimada 
Total Personal]])</f>
        <v>12.75</v>
      </c>
      <c r="Y54" s="66">
        <v>0.15</v>
      </c>
      <c r="Z54" s="14">
        <f>Table1538[[#This Row],[Ticket Médio Aluno Personal]]*Table1538[[#This Row],[Média Real Alunos 
Ativos Personal]]</f>
        <v>19779.002951230639</v>
      </c>
      <c r="AA54" s="62">
        <f>Table1538[[#This Row],[Média Real Alunos 
Ativos Personal]]*Table1538[[#This Row],[Personais 
Ativos Mês]]</f>
        <v>26381.801619256148</v>
      </c>
      <c r="AB54" s="14">
        <f>Table1538[[#This Row],[Média Real por Personal]]*Q53</f>
        <v>34663390.832705073</v>
      </c>
      <c r="AC54" s="14">
        <f t="shared" si="28"/>
        <v>2574970.4090783433</v>
      </c>
      <c r="AD54" s="14">
        <f>AD53+Table1538[[#This Row],[Faturamento 
Real Bruto]]</f>
        <v>109749968.97156298</v>
      </c>
      <c r="AE54" s="14">
        <f>AE53+Table1538[[#This Row],[Receita MUVX 
(7,5% &gt;= 1000 Personais)]]</f>
        <v>7881462.8109813482</v>
      </c>
      <c r="AF54" s="14">
        <f>Table1538[[#This Row],[Investimento no Mês
 (Growth) // 80%]]+AF53</f>
        <v>538904.66399999999</v>
      </c>
      <c r="AG54" s="73">
        <f>Table1538[[#This Row],[Receita MUVX Acumulada]]/Table1538[[#This Row],[Investimento Acumulado]]</f>
        <v>14.624966784442876</v>
      </c>
      <c r="AH54" s="73">
        <f>Table1538[[#This Row],[ROI]]+AH53</f>
        <v>48.275436280036246</v>
      </c>
    </row>
    <row r="55" spans="1:36">
      <c r="A55" s="60">
        <v>46357</v>
      </c>
      <c r="B55" s="61">
        <f t="shared" si="25"/>
        <v>80000</v>
      </c>
      <c r="C55" s="61">
        <f t="shared" si="26"/>
        <v>12.534735559622028</v>
      </c>
      <c r="D55" s="62">
        <f>Table1538[[#This Row],[Investimento no Mês
 (Growth) // 80%]]/Table1538[[#This Row],[CPL 
(cadastro)]]</f>
        <v>6382.264677182573</v>
      </c>
      <c r="E55" s="63">
        <f t="shared" si="20"/>
        <v>0.3</v>
      </c>
      <c r="F55" s="64">
        <f>Table1538[[#This Row],[Novos Cadastros 
LP]]*Table1538[[#This Row],[Tx. % Install]]</f>
        <v>1914.6794031547718</v>
      </c>
      <c r="G55" s="63">
        <f t="shared" si="21"/>
        <v>0.6</v>
      </c>
      <c r="H55" s="64">
        <f>Table1538[[#This Row],[Novos Installs no App]]*Table1538[[#This Row],[Tx % Ativações]]</f>
        <v>1148.8076418928631</v>
      </c>
      <c r="I55" s="63">
        <f t="shared" si="22"/>
        <v>0.3</v>
      </c>
      <c r="J55" s="64">
        <f t="shared" si="23"/>
        <v>0</v>
      </c>
      <c r="K55" s="63">
        <f t="shared" si="24"/>
        <v>0</v>
      </c>
      <c r="L55" s="62">
        <f>(Table1538[[#This Row],[Novos Personais Habilitados]]*(Table1538[[#This Row],[Tx % de Conversão]])+Table1538[[#This Row],[Cadastros Evento Presencial]]*Table1538[[#This Row],[Tx % Ativação Presencial]])</f>
        <v>344.64229256785893</v>
      </c>
      <c r="M55" s="62">
        <f>Table1538[[#This Row],[Novos Personais Ativados]]+M54</f>
        <v>2467.2454216657375</v>
      </c>
      <c r="N55" s="65">
        <f>Table1538[[#This Row],[Investimento no Mês
 (Growth) // 80%]]/Table1538[[#This Row],[Novos Personais Ativados]]</f>
        <v>232.12473258559311</v>
      </c>
      <c r="O55" s="66">
        <v>0.03</v>
      </c>
      <c r="P55" s="67">
        <f>M54*Table1538[[#This Row],[Tx. % Churn]]</f>
        <v>63.678093872936351</v>
      </c>
      <c r="Q55" s="62">
        <f>Table1538[[#This Row],[Personais 
Totais]]-Table1538[[#This Row],[Qtde. Churn 
no Mês]]</f>
        <v>2403.5673277928013</v>
      </c>
      <c r="R55" s="68">
        <v>15</v>
      </c>
      <c r="S55" s="61">
        <f t="shared" si="29"/>
        <v>1574.5637643528703</v>
      </c>
      <c r="T55" s="76">
        <f>Table1538[[#This Row],[Média Alunos Estimada 
Total Personal]]*Table1538[[#This Row],[Ticket Médio Aluno Personal]]</f>
        <v>23618.456465293053</v>
      </c>
      <c r="U55" s="62">
        <f>Table1538[[#This Row],[Personais 
Ativos Mês]]+(Table1538[[#This Row],[Personais 
Ativos Mês]]*Table1538[[#This Row],[Média Alunos Estimada 
Total Personal]])</f>
        <v>38457.07724468482</v>
      </c>
      <c r="V55" s="77">
        <f>Table1538[[#This Row],[Média Faturamento
Estimada Personal]]*Q54</f>
        <v>48870386.903560713</v>
      </c>
      <c r="W55" s="77">
        <f t="shared" si="27"/>
        <v>3667179.8603333011</v>
      </c>
      <c r="X55" s="72">
        <f>Table1538[[#This Row],[Média Alunos Estimada 
Total Personal]]-(Table1538[[#This Row],[Tx. % Real Alunos 
não ativados]]*Table1538[[#This Row],[Média Alunos Estimada 
Total Personal]])</f>
        <v>12.75</v>
      </c>
      <c r="Y55" s="66">
        <v>0.15</v>
      </c>
      <c r="Z55" s="14">
        <f>Table1538[[#This Row],[Ticket Médio Aluno Personal]]*Table1538[[#This Row],[Média Real Alunos 
Ativos Personal]]</f>
        <v>20075.687995499095</v>
      </c>
      <c r="AA55" s="62">
        <f>Table1538[[#This Row],[Média Real Alunos 
Ativos Personal]]*Table1538[[#This Row],[Personais 
Ativos Mês]]</f>
        <v>30645.483429358217</v>
      </c>
      <c r="AB55" s="14">
        <f>Table1538[[#This Row],[Média Real por Personal]]*Q54</f>
        <v>41539828.868026607</v>
      </c>
      <c r="AC55" s="14">
        <f t="shared" si="28"/>
        <v>3117102.8812833056</v>
      </c>
      <c r="AD55" s="14">
        <f>AD54+Table1538[[#This Row],[Faturamento 
Real Bruto]]</f>
        <v>151289797.8395896</v>
      </c>
      <c r="AE55" s="14">
        <f>AE54+Table1538[[#This Row],[Receita MUVX 
(7,5% &gt;= 1000 Personais)]]</f>
        <v>10998565.692264654</v>
      </c>
      <c r="AF55" s="14">
        <f>Table1538[[#This Row],[Investimento no Mês
 (Growth) // 80%]]+AF54</f>
        <v>618904.66399999999</v>
      </c>
      <c r="AG55" s="73">
        <f>Table1538[[#This Row],[Receita MUVX Acumulada]]/Table1538[[#This Row],[Investimento Acumulado]]</f>
        <v>17.771017625203505</v>
      </c>
      <c r="AH55" s="73">
        <f>Table1538[[#This Row],[ROI]]+AH54</f>
        <v>66.046453905239758</v>
      </c>
    </row>
    <row r="56" spans="1:36">
      <c r="A56" s="60">
        <v>46388</v>
      </c>
      <c r="B56" s="61">
        <f t="shared" si="25"/>
        <v>80000</v>
      </c>
      <c r="C56" s="61">
        <f t="shared" si="26"/>
        <v>12.409388204025808</v>
      </c>
      <c r="D56" s="62">
        <f>Table1538[[#This Row],[Investimento no Mês
 (Growth) // 80%]]/Table1538[[#This Row],[CPL 
(cadastro)]]</f>
        <v>6446.7319971541137</v>
      </c>
      <c r="E56" s="63">
        <f t="shared" si="20"/>
        <v>0.3</v>
      </c>
      <c r="F56" s="64">
        <f>Table1538[[#This Row],[Novos Cadastros 
LP]]*Table1538[[#This Row],[Tx. % Install]]</f>
        <v>1934.019599146234</v>
      </c>
      <c r="G56" s="63">
        <f t="shared" si="21"/>
        <v>0.6</v>
      </c>
      <c r="H56" s="64">
        <f>Table1538[[#This Row],[Novos Installs no App]]*Table1538[[#This Row],[Tx % Ativações]]</f>
        <v>1160.4117594877403</v>
      </c>
      <c r="I56" s="63">
        <f t="shared" si="22"/>
        <v>0.3</v>
      </c>
      <c r="J56" s="64">
        <f t="shared" si="23"/>
        <v>0</v>
      </c>
      <c r="K56" s="63">
        <f t="shared" si="24"/>
        <v>0</v>
      </c>
      <c r="L56" s="62">
        <f>(Table1538[[#This Row],[Novos Personais Habilitados]]*(Table1538[[#This Row],[Tx % de Conversão]])+Table1538[[#This Row],[Cadastros Evento Presencial]]*Table1538[[#This Row],[Tx % Ativação Presencial]])</f>
        <v>348.12352784632208</v>
      </c>
      <c r="M56" s="62">
        <f>Table1538[[#This Row],[Novos Personais Ativados]]+M55</f>
        <v>2815.3689495120598</v>
      </c>
      <c r="N56" s="65">
        <f>Table1538[[#This Row],[Investimento no Mês
 (Growth) // 80%]]/Table1538[[#This Row],[Novos Personais Ativados]]</f>
        <v>229.80348525973724</v>
      </c>
      <c r="O56" s="66">
        <v>0.06</v>
      </c>
      <c r="P56" s="67">
        <f>M55*Table1538[[#This Row],[Tx. % Churn]]</f>
        <v>148.03472529994426</v>
      </c>
      <c r="Q56" s="62">
        <f>Table1538[[#This Row],[Personais 
Totais]]-Table1538[[#This Row],[Qtde. Churn 
no Mês]]</f>
        <v>2667.3342242121157</v>
      </c>
      <c r="R56" s="68">
        <v>15</v>
      </c>
      <c r="S56" s="61">
        <f t="shared" si="29"/>
        <v>1598.1822208181632</v>
      </c>
      <c r="T56" s="76">
        <f>Table1538[[#This Row],[Média Alunos Estimada 
Total Personal]]*Table1538[[#This Row],[Ticket Médio Aluno Personal]]</f>
        <v>23972.733312272449</v>
      </c>
      <c r="U56" s="62">
        <f>Table1538[[#This Row],[Personais 
Ativos Mês]]+(Table1538[[#This Row],[Personais 
Ativos Mês]]*Table1538[[#This Row],[Média Alunos Estimada 
Total Personal]])</f>
        <v>42677.347587393851</v>
      </c>
      <c r="V56" s="77">
        <f>Table1538[[#This Row],[Média Faturamento
Estimada Personal]]*Q55</f>
        <v>57620078.54726816</v>
      </c>
      <c r="W56" s="77">
        <f t="shared" si="27"/>
        <v>4196428.5680732522</v>
      </c>
      <c r="X56" s="72">
        <f>Table1538[[#This Row],[Média Alunos Estimada 
Total Personal]]-(Table1538[[#This Row],[Tx. % Real Alunos 
não ativados]]*Table1538[[#This Row],[Média Alunos Estimada 
Total Personal]])</f>
        <v>12.75</v>
      </c>
      <c r="Y56" s="66">
        <v>0.15</v>
      </c>
      <c r="Z56" s="14">
        <f>Table1538[[#This Row],[Ticket Médio Aluno Personal]]*Table1538[[#This Row],[Média Real Alunos 
Ativos Personal]]</f>
        <v>20376.823315431579</v>
      </c>
      <c r="AA56" s="62">
        <f>Table1538[[#This Row],[Média Real Alunos 
Ativos Personal]]*Table1538[[#This Row],[Personais 
Ativos Mês]]</f>
        <v>34008.511358704476</v>
      </c>
      <c r="AB56" s="14">
        <f>Table1538[[#This Row],[Média Real por Personal]]*Q55</f>
        <v>48977066.765177928</v>
      </c>
      <c r="AC56" s="14">
        <f t="shared" si="28"/>
        <v>3566964.2828622637</v>
      </c>
      <c r="AD56" s="14">
        <f>AD55+Table1538[[#This Row],[Faturamento 
Real Bruto]]</f>
        <v>200266864.60476753</v>
      </c>
      <c r="AE56" s="14">
        <f>AE55+Table1538[[#This Row],[Receita MUVX 
(7,5% &gt;= 1000 Personais)]]</f>
        <v>14565529.975126918</v>
      </c>
      <c r="AF56" s="14">
        <f>Table1538[[#This Row],[Investimento no Mês
 (Growth) // 80%]]+AF55</f>
        <v>698904.66399999999</v>
      </c>
      <c r="AG56" s="73">
        <f>Table1538[[#This Row],[Receita MUVX Acumulada]]/Table1538[[#This Row],[Investimento Acumulado]]</f>
        <v>20.840510480735492</v>
      </c>
      <c r="AH56" s="73">
        <f>Table1538[[#This Row],[ROI]]+AH55</f>
        <v>86.886964385975247</v>
      </c>
    </row>
    <row r="57" spans="1:36" s="86" customFormat="1">
      <c r="A57" s="79"/>
      <c r="B57" s="80">
        <f>SUBTOTAL(109,B43:B56)</f>
        <v>698904.66399999999</v>
      </c>
      <c r="C57" s="80">
        <f>SUBTOTAL(101,C43:C56)</f>
        <v>13.105040557246058</v>
      </c>
      <c r="D57" s="81">
        <f>SUBTOTAL(109,D43:D56)</f>
        <v>54604.731885301153</v>
      </c>
      <c r="E57" s="82">
        <f>AVERAGE(E43:E56)</f>
        <v>0.25428571428571423</v>
      </c>
      <c r="F57" s="82">
        <f>Table1538[[#This Row],[Novos Cadastros 
LP]]*Table1538[[#This Row],[Tx. % Install]]</f>
        <v>13885.203250833718</v>
      </c>
      <c r="G57" s="82">
        <f t="shared" si="21"/>
        <v>0.53571428571428559</v>
      </c>
      <c r="H57" s="82">
        <f>Table1538[[#This Row],[Novos Installs no App]]*Table1538[[#This Row],[Tx % Ativações]]</f>
        <v>7438.501741518061</v>
      </c>
      <c r="I57" s="82">
        <f t="shared" si="22"/>
        <v>0.32857142857142846</v>
      </c>
      <c r="J57" s="81">
        <f t="shared" si="23"/>
        <v>0</v>
      </c>
      <c r="K57" s="82">
        <f t="shared" si="24"/>
        <v>0</v>
      </c>
      <c r="L57" s="83">
        <f>SUBTOTAL(109,L43:L56)</f>
        <v>2815.3689495120598</v>
      </c>
      <c r="M57" s="83">
        <f>AVERAGE(M43:M56)</f>
        <v>941.08343389626918</v>
      </c>
      <c r="N57" s="80" t="e">
        <f>SUBTOTAL(101,N43:N56)</f>
        <v>#DIV/0!</v>
      </c>
      <c r="O57" s="84">
        <f>AVERAGE(O43:O56)</f>
        <v>2.571428571428571E-2</v>
      </c>
      <c r="P57" s="83">
        <f>SUBTOTAL(109,P43:P56)</f>
        <v>356.76410113870651</v>
      </c>
      <c r="Q57" s="83">
        <f>Q56</f>
        <v>2667.3342242121157</v>
      </c>
      <c r="R57" s="83">
        <f>AVERAGE(R43:R56)</f>
        <v>15</v>
      </c>
      <c r="S57" s="85">
        <f>Table1538[[#This Row],[Média Faturamento
Estimada Personal]]/Table1538[[#This Row],[Média Alunos Estimada 
Total Personal]]</f>
        <v>1360.2616863354174</v>
      </c>
      <c r="T57" s="80">
        <f>SUBTOTAL(101,T43:T56)</f>
        <v>20403.925295031262</v>
      </c>
      <c r="U57" s="83">
        <f>Table1538[[#This Row],[Personais 
Ativos Mês]]+(Table1538[[#This Row],[Personais 
Ativos Mês]]*Table1538[[#This Row],[Média Alunos Estimada 
Total Personal]])</f>
        <v>42677.347587393851</v>
      </c>
      <c r="V57" s="85">
        <f>SUBTOTAL(109,V43:V56)</f>
        <v>235608076.00560883</v>
      </c>
      <c r="W57" s="85">
        <f>Table1538[[#This Row],[Faturamento Estimado]]*5%</f>
        <v>11780403.800280442</v>
      </c>
      <c r="X57" s="83"/>
      <c r="Y57" s="83"/>
      <c r="Z57" s="85">
        <f>AVERAGE(Z44:Z56)</f>
        <v>17820.708539297852</v>
      </c>
      <c r="AA57" s="62"/>
      <c r="AB57" s="80">
        <f>SUBTOTAL(109,AB43:AB56)</f>
        <v>200266864.60476753</v>
      </c>
      <c r="AC57" s="80">
        <f>SUBTOTAL(109,AC43:AC56)</f>
        <v>14565529.975126918</v>
      </c>
      <c r="AD57" s="80"/>
    </row>
    <row r="58" spans="1:36">
      <c r="A58" s="87"/>
      <c r="D58" s="15"/>
      <c r="E58" s="88"/>
      <c r="F58" s="88">
        <f>Table1538[[#This Row],[Novos Cadastros 
LP]]*Table1538[[#This Row],[Tx. % Install]]</f>
        <v>0</v>
      </c>
      <c r="G58" s="88">
        <f t="shared" si="21"/>
        <v>0</v>
      </c>
      <c r="H58" s="88">
        <f>Table1538[[#This Row],[Novos Installs no App]]*Table1538[[#This Row],[Tx % Ativações]]</f>
        <v>0</v>
      </c>
      <c r="I58" s="88">
        <f t="shared" si="22"/>
        <v>0</v>
      </c>
      <c r="J58" s="88">
        <f t="shared" si="23"/>
        <v>0</v>
      </c>
      <c r="K58" s="88">
        <f t="shared" si="24"/>
        <v>0</v>
      </c>
      <c r="S58" s="15"/>
      <c r="U58" s="15"/>
      <c r="V58" s="15"/>
      <c r="W58" s="15"/>
      <c r="X58" s="62"/>
      <c r="AA58" s="83"/>
    </row>
    <row r="59" spans="1:36">
      <c r="A59" s="87"/>
      <c r="C59" s="89" t="s">
        <v>253</v>
      </c>
      <c r="D59" s="90">
        <f>D57/130000</f>
        <v>0.42003639911770119</v>
      </c>
      <c r="E59" s="91"/>
      <c r="F59" s="91">
        <f>Table1538[[#This Row],[Novos Cadastros 
LP]]*Table1538[[#This Row],[Tx. % Install]]</f>
        <v>0</v>
      </c>
      <c r="G59" s="91">
        <f t="shared" si="21"/>
        <v>0</v>
      </c>
      <c r="H59" s="91">
        <f>Table1538[[#This Row],[Novos Installs no App]]*Table1538[[#This Row],[Tx % Ativações]]</f>
        <v>0</v>
      </c>
      <c r="I59" s="91">
        <f t="shared" si="22"/>
        <v>0</v>
      </c>
      <c r="J59" s="91">
        <f t="shared" si="23"/>
        <v>0</v>
      </c>
      <c r="K59" s="91">
        <f t="shared" si="24"/>
        <v>0</v>
      </c>
      <c r="L59" s="90"/>
      <c r="P59" s="89" t="s">
        <v>253</v>
      </c>
      <c r="Q59" s="90">
        <f>Q57/130000</f>
        <v>2.0517955570862428E-2</v>
      </c>
      <c r="S59" s="15"/>
      <c r="U59" s="15"/>
      <c r="V59" s="15"/>
      <c r="W59" s="15"/>
      <c r="X59" s="62"/>
      <c r="AA59" s="62"/>
      <c r="AB59" s="93"/>
      <c r="AC59" s="89"/>
    </row>
    <row r="60" spans="1:36">
      <c r="A60" s="87"/>
      <c r="C60" s="89"/>
      <c r="D60" s="90"/>
      <c r="E60" s="91"/>
      <c r="F60" s="91"/>
      <c r="G60" s="91"/>
      <c r="H60" s="91"/>
      <c r="I60" s="91"/>
      <c r="J60" s="91"/>
      <c r="K60" s="91"/>
      <c r="L60" s="90"/>
      <c r="P60" s="89"/>
      <c r="Q60" s="90"/>
      <c r="S60" s="15"/>
      <c r="U60" s="15"/>
      <c r="V60" s="15"/>
      <c r="W60" s="15"/>
      <c r="X60" s="62"/>
      <c r="AA60" s="62"/>
      <c r="AB60" s="93"/>
      <c r="AC60" s="89"/>
    </row>
    <row r="62" spans="1:36">
      <c r="C62" s="184" t="s">
        <v>213</v>
      </c>
      <c r="D62" s="184"/>
      <c r="E62" s="189" t="s">
        <v>257</v>
      </c>
      <c r="F62" s="189"/>
      <c r="G62" s="190" t="s">
        <v>215</v>
      </c>
      <c r="H62" s="190"/>
      <c r="I62" s="189" t="s">
        <v>216</v>
      </c>
      <c r="J62" s="189"/>
      <c r="K62" s="189"/>
      <c r="L62" s="189"/>
      <c r="M62" s="189"/>
      <c r="N62" s="188" t="s">
        <v>217</v>
      </c>
      <c r="O62" s="188"/>
      <c r="P62" s="188"/>
      <c r="Q62" s="188"/>
      <c r="X62" s="184" t="s">
        <v>218</v>
      </c>
      <c r="Y62" s="184"/>
      <c r="Z62" s="184"/>
      <c r="AA62" s="184"/>
      <c r="AB62" s="184"/>
      <c r="AC62" s="184"/>
      <c r="AD62" s="184"/>
    </row>
    <row r="63" spans="1:36" ht="57.95" customHeight="1">
      <c r="A63" s="95" t="s">
        <v>219</v>
      </c>
      <c r="B63" s="96" t="s">
        <v>258</v>
      </c>
      <c r="C63" s="97" t="s">
        <v>221</v>
      </c>
      <c r="D63" s="97" t="s">
        <v>222</v>
      </c>
      <c r="E63" s="98" t="s">
        <v>223</v>
      </c>
      <c r="F63" s="98" t="s">
        <v>224</v>
      </c>
      <c r="G63" s="97" t="s">
        <v>225</v>
      </c>
      <c r="H63" s="97" t="s">
        <v>226</v>
      </c>
      <c r="I63" s="98" t="s">
        <v>227</v>
      </c>
      <c r="J63" s="98" t="s">
        <v>228</v>
      </c>
      <c r="K63" s="98" t="s">
        <v>229</v>
      </c>
      <c r="L63" s="98" t="s">
        <v>230</v>
      </c>
      <c r="M63" s="97" t="s">
        <v>259</v>
      </c>
      <c r="N63" s="98" t="s">
        <v>231</v>
      </c>
      <c r="O63" s="95" t="s">
        <v>232</v>
      </c>
      <c r="P63" s="95" t="s">
        <v>233</v>
      </c>
      <c r="Q63" s="95" t="s">
        <v>234</v>
      </c>
      <c r="R63" s="95" t="s">
        <v>235</v>
      </c>
      <c r="S63" s="95" t="s">
        <v>236</v>
      </c>
      <c r="T63" s="95" t="s">
        <v>237</v>
      </c>
      <c r="U63" s="95" t="s">
        <v>260</v>
      </c>
      <c r="V63" s="95" t="s">
        <v>239</v>
      </c>
      <c r="W63" s="95" t="s">
        <v>240</v>
      </c>
      <c r="X63" s="95" t="s">
        <v>324</v>
      </c>
      <c r="Y63" s="99" t="s">
        <v>242</v>
      </c>
      <c r="Z63" s="99" t="s">
        <v>243</v>
      </c>
      <c r="AA63" s="99" t="s">
        <v>261</v>
      </c>
      <c r="AB63" s="99" t="s">
        <v>245</v>
      </c>
      <c r="AC63" s="99" t="s">
        <v>246</v>
      </c>
      <c r="AD63" s="99" t="s">
        <v>325</v>
      </c>
      <c r="AE63" s="99" t="s">
        <v>326</v>
      </c>
      <c r="AF63" s="99" t="s">
        <v>248</v>
      </c>
      <c r="AG63" s="100" t="s">
        <v>249</v>
      </c>
      <c r="AH63" s="100" t="s">
        <v>250</v>
      </c>
      <c r="AI63" s="95" t="s">
        <v>251</v>
      </c>
      <c r="AJ63" s="95" t="s">
        <v>252</v>
      </c>
    </row>
    <row r="64" spans="1:36">
      <c r="A64" s="78">
        <v>46023</v>
      </c>
      <c r="B64" s="101" cm="1">
        <f t="array" ref="B64">INDEX(Fluxo_Caixa_Mensal!$H$90:$S$90, ROW(B64)-ROW($B$64)+1)</f>
        <v>31338.26</v>
      </c>
      <c r="C64" s="101">
        <v>12</v>
      </c>
      <c r="D64" s="102">
        <v>1845</v>
      </c>
      <c r="E64" s="103">
        <v>0.06</v>
      </c>
      <c r="F64" s="104">
        <f t="shared" ref="F64:F77" si="30">F3+F23+F43</f>
        <v>156.69130000000001</v>
      </c>
      <c r="G64" s="103">
        <v>0</v>
      </c>
      <c r="H64" s="104">
        <f t="shared" ref="H64:H77" si="31">H3+H23+H43</f>
        <v>0</v>
      </c>
      <c r="I64" s="103">
        <v>0.7</v>
      </c>
      <c r="J64" s="105">
        <v>0</v>
      </c>
      <c r="K64" s="103">
        <v>0</v>
      </c>
      <c r="L64" s="105">
        <f t="shared" ref="L64:L77" si="32">L3+L23+L43</f>
        <v>0</v>
      </c>
      <c r="M64" s="150">
        <f>L64/D64</f>
        <v>0</v>
      </c>
      <c r="N64" s="105">
        <f t="shared" ref="N64:N77" si="33">M3+M23+M43</f>
        <v>0</v>
      </c>
      <c r="O64" s="106">
        <f>IFERROR(AVERAGE(N3,N23,N43),0)</f>
        <v>0</v>
      </c>
      <c r="P64" s="103">
        <f t="shared" ref="P64:P77" si="34">AVERAGE(O3,O23,O43)</f>
        <v>0</v>
      </c>
      <c r="Q64" s="104">
        <f t="shared" ref="Q64:R77" si="35">P3+P23+P43</f>
        <v>0</v>
      </c>
      <c r="R64" s="62">
        <f t="shared" si="35"/>
        <v>0</v>
      </c>
      <c r="S64" s="62">
        <f t="shared" ref="S64:S77" si="36">R43</f>
        <v>15</v>
      </c>
      <c r="T64" s="106">
        <f t="shared" ref="T64:T77" si="37">AVERAGE(S3,S23,S43)</f>
        <v>0</v>
      </c>
      <c r="U64" s="106" t="str">
        <f t="shared" ref="U64:U77" si="38">IFERROR((M3*T3 + M23*T23 + M43*T43)/(M3 + M23 + M43),"0"
)</f>
        <v>0</v>
      </c>
      <c r="V64" s="62">
        <f t="shared" ref="V64:X77" si="39">U3+U23+U43</f>
        <v>0</v>
      </c>
      <c r="W64" s="15">
        <f t="shared" si="39"/>
        <v>0</v>
      </c>
      <c r="X64" s="15">
        <f t="shared" si="39"/>
        <v>0</v>
      </c>
      <c r="Y64" s="67">
        <f t="shared" ref="Y64:Z77" si="40">AVERAGE(X3,X23,X43)</f>
        <v>9.75</v>
      </c>
      <c r="Z64" s="103">
        <f t="shared" si="40"/>
        <v>0.34999999999999992</v>
      </c>
      <c r="AA64" s="106" t="str">
        <f t="shared" ref="AA64:AA77" si="41">IFERROR((M3*Z3 + M23*Z23 + M43*Z43)/(M3 + M23 + M43),"0"
)</f>
        <v>0</v>
      </c>
      <c r="AB64" s="105">
        <f t="shared" ref="AB64:AD77" si="42">AA3+AA23+AA43</f>
        <v>0</v>
      </c>
      <c r="AC64" s="106">
        <f t="shared" si="42"/>
        <v>0</v>
      </c>
      <c r="AD64" s="106">
        <f t="shared" si="42"/>
        <v>0</v>
      </c>
      <c r="AE64" s="106"/>
      <c r="AF64" s="106">
        <f t="shared" ref="AF64:AF77" si="43">AD3+AD23+AD43</f>
        <v>0</v>
      </c>
      <c r="AG64" s="106">
        <f t="shared" ref="AG64:AG77" si="44">AE3+AE23+AE43</f>
        <v>0</v>
      </c>
      <c r="AH64" s="106">
        <f t="shared" ref="AH64:AH77" si="45">AF3+AF23+AF43</f>
        <v>31338.260000000002</v>
      </c>
    </row>
    <row r="65" spans="1:36">
      <c r="A65" s="60">
        <v>46054</v>
      </c>
      <c r="B65" s="101" cm="1">
        <f t="array" ref="B65">INDEX(Fluxo_Caixa_Mensal!$H$90:$S$90, ROW(B65)-ROW($B$64)+1)</f>
        <v>5292.57</v>
      </c>
      <c r="C65" s="101">
        <v>14</v>
      </c>
      <c r="D65" s="105">
        <f t="shared" ref="D65:D77" si="46">D4+D24+D44</f>
        <v>2578</v>
      </c>
      <c r="E65" s="103">
        <v>0.2</v>
      </c>
      <c r="F65" s="104">
        <f t="shared" si="30"/>
        <v>515.6</v>
      </c>
      <c r="G65" s="103">
        <v>0.5</v>
      </c>
      <c r="H65" s="104">
        <f t="shared" si="31"/>
        <v>257.8</v>
      </c>
      <c r="I65" s="103">
        <v>0.3</v>
      </c>
      <c r="J65" s="105">
        <v>0</v>
      </c>
      <c r="K65" s="103">
        <v>0</v>
      </c>
      <c r="L65" s="105">
        <f t="shared" si="32"/>
        <v>77.34</v>
      </c>
      <c r="M65" s="150">
        <f>L65/D65</f>
        <v>3.0000000000000002E-2</v>
      </c>
      <c r="N65" s="105">
        <f t="shared" si="33"/>
        <v>77.34</v>
      </c>
      <c r="O65" s="106">
        <f t="shared" ref="O65:O77" si="47">AVERAGE(N4,N24,N44)</f>
        <v>102.58023995167882</v>
      </c>
      <c r="P65" s="103">
        <f t="shared" si="34"/>
        <v>0.02</v>
      </c>
      <c r="Q65" s="104">
        <f t="shared" si="35"/>
        <v>0</v>
      </c>
      <c r="R65" s="62">
        <f t="shared" si="35"/>
        <v>77.34</v>
      </c>
      <c r="S65" s="62">
        <f t="shared" si="36"/>
        <v>15</v>
      </c>
      <c r="T65" s="106">
        <f t="shared" si="37"/>
        <v>766.66666666666663</v>
      </c>
      <c r="U65" s="106">
        <f t="shared" si="38"/>
        <v>9752.0364623739333</v>
      </c>
      <c r="V65" s="62">
        <f t="shared" si="39"/>
        <v>1237.44</v>
      </c>
      <c r="W65" s="15">
        <f t="shared" si="39"/>
        <v>0</v>
      </c>
      <c r="X65" s="15">
        <f t="shared" si="39"/>
        <v>0</v>
      </c>
      <c r="Y65" s="67">
        <f t="shared" si="40"/>
        <v>4.5</v>
      </c>
      <c r="Z65" s="103">
        <f t="shared" si="40"/>
        <v>0.69999999999999984</v>
      </c>
      <c r="AA65" s="106">
        <f t="shared" si="41"/>
        <v>2925.6109387121796</v>
      </c>
      <c r="AB65" s="105">
        <f t="shared" si="42"/>
        <v>348.03</v>
      </c>
      <c r="AC65" s="106">
        <f t="shared" si="42"/>
        <v>0</v>
      </c>
      <c r="AD65" s="106">
        <f t="shared" si="42"/>
        <v>0</v>
      </c>
      <c r="AE65" s="106"/>
      <c r="AF65" s="106">
        <f t="shared" si="43"/>
        <v>0</v>
      </c>
      <c r="AG65" s="106">
        <f t="shared" si="44"/>
        <v>0</v>
      </c>
      <c r="AH65" s="106">
        <f t="shared" si="45"/>
        <v>36630.83</v>
      </c>
    </row>
    <row r="66" spans="1:36">
      <c r="A66" s="78">
        <v>46082</v>
      </c>
      <c r="B66" s="101" cm="1">
        <f t="array" ref="B66">INDEX(Fluxo_Caixa_Mensal!$H$90:$S$90, ROW(B66)-ROW($B$64)+1)</f>
        <v>1000</v>
      </c>
      <c r="C66" s="101">
        <f>C65*0.99</f>
        <v>13.86</v>
      </c>
      <c r="D66" s="105">
        <f t="shared" si="46"/>
        <v>72.150072150072162</v>
      </c>
      <c r="E66" s="103">
        <v>0.2</v>
      </c>
      <c r="F66" s="104">
        <f t="shared" si="30"/>
        <v>14.430014430014433</v>
      </c>
      <c r="G66" s="103">
        <v>0.5</v>
      </c>
      <c r="H66" s="104">
        <f t="shared" si="31"/>
        <v>7.2150072150072164</v>
      </c>
      <c r="I66" s="103">
        <v>0.3</v>
      </c>
      <c r="J66" s="105">
        <v>0</v>
      </c>
      <c r="K66" s="103">
        <v>0</v>
      </c>
      <c r="L66" s="105">
        <f t="shared" si="32"/>
        <v>2.1645021645021649</v>
      </c>
      <c r="M66" s="150">
        <f>L66/D66</f>
        <v>3.0000000000000002E-2</v>
      </c>
      <c r="N66" s="105">
        <f>M5+M25+M45</f>
        <v>79.504502164502171</v>
      </c>
      <c r="O66" s="106">
        <f t="shared" si="47"/>
        <v>461.99999999999994</v>
      </c>
      <c r="P66" s="103">
        <f t="shared" si="34"/>
        <v>0.03</v>
      </c>
      <c r="Q66" s="104">
        <f t="shared" si="35"/>
        <v>2.3201999999999998</v>
      </c>
      <c r="R66" s="62">
        <f t="shared" si="35"/>
        <v>77.184302164502171</v>
      </c>
      <c r="S66" s="62">
        <f t="shared" si="36"/>
        <v>15</v>
      </c>
      <c r="T66" s="106">
        <f t="shared" si="37"/>
        <v>770.49999999999989</v>
      </c>
      <c r="U66" s="106">
        <f t="shared" si="38"/>
        <v>10025.443343212341</v>
      </c>
      <c r="V66" s="62">
        <f t="shared" si="39"/>
        <v>1234.9488346320347</v>
      </c>
      <c r="W66" s="15">
        <f t="shared" si="39"/>
        <v>757993.61249999993</v>
      </c>
      <c r="X66" s="15">
        <f t="shared" si="39"/>
        <v>37899.680624999994</v>
      </c>
      <c r="Y66" s="67">
        <f t="shared" si="40"/>
        <v>12.75</v>
      </c>
      <c r="Z66" s="103">
        <f t="shared" si="40"/>
        <v>0.15</v>
      </c>
      <c r="AA66" s="106">
        <f t="shared" si="41"/>
        <v>8521.6268417304891</v>
      </c>
      <c r="AB66" s="105">
        <f t="shared" si="42"/>
        <v>984.09985259740256</v>
      </c>
      <c r="AC66" s="106">
        <f t="shared" si="42"/>
        <v>644294.57062499982</v>
      </c>
      <c r="AD66" s="106">
        <f t="shared" si="42"/>
        <v>32214.728531249995</v>
      </c>
      <c r="AE66" s="106"/>
      <c r="AF66" s="106">
        <f t="shared" si="43"/>
        <v>644294.57062499982</v>
      </c>
      <c r="AG66" s="106">
        <f t="shared" si="44"/>
        <v>32214.728531249995</v>
      </c>
      <c r="AH66" s="106">
        <f t="shared" si="45"/>
        <v>37630.83</v>
      </c>
    </row>
    <row r="67" spans="1:36">
      <c r="A67" s="60">
        <v>46113</v>
      </c>
      <c r="B67" s="101" cm="1">
        <f t="array" ref="B67">INDEX(Fluxo_Caixa_Mensal!$H$90:$S$90, ROW(B67)-ROW($B$64)+1)</f>
        <v>1000</v>
      </c>
      <c r="C67" s="101">
        <f t="shared" ref="C67:C77" si="48">C66*0.99</f>
        <v>13.721399999999999</v>
      </c>
      <c r="D67" s="105">
        <f t="shared" si="46"/>
        <v>72.878860757648638</v>
      </c>
      <c r="E67" s="103">
        <v>0.2</v>
      </c>
      <c r="F67" s="104">
        <f t="shared" si="30"/>
        <v>14.57577215152973</v>
      </c>
      <c r="G67" s="103">
        <v>0.5</v>
      </c>
      <c r="H67" s="104">
        <f t="shared" si="31"/>
        <v>7.2878860757648649</v>
      </c>
      <c r="I67" s="103">
        <v>0.3</v>
      </c>
      <c r="J67" s="105">
        <v>0</v>
      </c>
      <c r="K67" s="103">
        <v>0</v>
      </c>
      <c r="L67" s="105">
        <f t="shared" si="32"/>
        <v>2.1863658227294596</v>
      </c>
      <c r="M67" s="150">
        <f>L67/D67</f>
        <v>3.0000000000000006E-2</v>
      </c>
      <c r="N67" s="105">
        <f t="shared" si="33"/>
        <v>81.690867987231627</v>
      </c>
      <c r="O67" s="106">
        <f t="shared" si="47"/>
        <v>457.37999999999994</v>
      </c>
      <c r="P67" s="103">
        <f t="shared" si="34"/>
        <v>0.02</v>
      </c>
      <c r="Q67" s="104">
        <f t="shared" si="35"/>
        <v>1.5900900432900433</v>
      </c>
      <c r="R67" s="62">
        <f t="shared" si="35"/>
        <v>80.10077794394158</v>
      </c>
      <c r="S67" s="62">
        <f t="shared" si="36"/>
        <v>15</v>
      </c>
      <c r="T67" s="106">
        <f t="shared" si="37"/>
        <v>782.05749999999989</v>
      </c>
      <c r="U67" s="106">
        <f t="shared" si="38"/>
        <v>10393.877731844399</v>
      </c>
      <c r="V67" s="62">
        <f t="shared" si="39"/>
        <v>1281.6124471030653</v>
      </c>
      <c r="W67" s="15">
        <f t="shared" si="39"/>
        <v>785942.99470960209</v>
      </c>
      <c r="X67" s="15">
        <f t="shared" si="39"/>
        <v>39297.149735480103</v>
      </c>
      <c r="Y67" s="67">
        <f t="shared" si="40"/>
        <v>12.75</v>
      </c>
      <c r="Z67" s="103">
        <f t="shared" si="40"/>
        <v>0.15</v>
      </c>
      <c r="AA67" s="106">
        <f t="shared" si="41"/>
        <v>8834.7960720677384</v>
      </c>
      <c r="AB67" s="105">
        <f t="shared" si="42"/>
        <v>1021.2849187852551</v>
      </c>
      <c r="AC67" s="106">
        <f t="shared" si="42"/>
        <v>668051.54550316173</v>
      </c>
      <c r="AD67" s="106">
        <f t="shared" si="42"/>
        <v>33402.577275158088</v>
      </c>
      <c r="AE67" s="106"/>
      <c r="AF67" s="106">
        <f t="shared" si="43"/>
        <v>1312346.1161281615</v>
      </c>
      <c r="AG67" s="106">
        <f t="shared" si="44"/>
        <v>65617.305806408083</v>
      </c>
      <c r="AH67" s="106">
        <f t="shared" si="45"/>
        <v>38630.83</v>
      </c>
    </row>
    <row r="68" spans="1:36">
      <c r="A68" s="78">
        <v>46143</v>
      </c>
      <c r="B68" s="101" cm="1">
        <f t="array" ref="B68">INDEX(Fluxo_Caixa_Mensal!$H$90:$S$90, ROW(B68)-ROW($B$64)+1)</f>
        <v>5000</v>
      </c>
      <c r="C68" s="101">
        <f t="shared" si="48"/>
        <v>13.584185999999999</v>
      </c>
      <c r="D68" s="105">
        <f t="shared" si="46"/>
        <v>368.07505433155882</v>
      </c>
      <c r="E68" s="103">
        <v>0.2</v>
      </c>
      <c r="F68" s="104">
        <f t="shared" si="30"/>
        <v>73.615010866311763</v>
      </c>
      <c r="G68" s="103">
        <v>0.6</v>
      </c>
      <c r="H68" s="104">
        <f t="shared" si="31"/>
        <v>44.169006519787061</v>
      </c>
      <c r="I68" s="103">
        <v>0.3</v>
      </c>
      <c r="J68" s="105">
        <v>0</v>
      </c>
      <c r="K68" s="103">
        <v>0</v>
      </c>
      <c r="L68" s="105">
        <f t="shared" si="32"/>
        <v>13.250701955936117</v>
      </c>
      <c r="M68" s="150">
        <f>L68/D68</f>
        <v>3.5999999999999997E-2</v>
      </c>
      <c r="N68" s="105">
        <f t="shared" si="33"/>
        <v>94.941569943167735</v>
      </c>
      <c r="O68" s="106">
        <f t="shared" si="47"/>
        <v>377.33850000000001</v>
      </c>
      <c r="P68" s="103">
        <f t="shared" si="34"/>
        <v>0.02</v>
      </c>
      <c r="Q68" s="104">
        <f t="shared" si="35"/>
        <v>1.6338173597446324</v>
      </c>
      <c r="R68" s="62">
        <f t="shared" si="35"/>
        <v>93.30775258342311</v>
      </c>
      <c r="S68" s="62">
        <f t="shared" si="36"/>
        <v>15</v>
      </c>
      <c r="T68" s="106">
        <f t="shared" si="37"/>
        <v>793.78836249999983</v>
      </c>
      <c r="U68" s="106">
        <f t="shared" si="38"/>
        <v>11673.042440453402</v>
      </c>
      <c r="V68" s="62">
        <f t="shared" si="39"/>
        <v>1492.9240413347698</v>
      </c>
      <c r="W68" s="15">
        <f t="shared" si="39"/>
        <v>845397.98189827253</v>
      </c>
      <c r="X68" s="15">
        <f t="shared" si="39"/>
        <v>42269.899094913621</v>
      </c>
      <c r="Y68" s="67">
        <f t="shared" si="40"/>
        <v>12.75</v>
      </c>
      <c r="Z68" s="103">
        <f t="shared" si="40"/>
        <v>0.15</v>
      </c>
      <c r="AA68" s="106">
        <f t="shared" si="41"/>
        <v>9922.0860743853918</v>
      </c>
      <c r="AB68" s="105">
        <f t="shared" si="42"/>
        <v>1189.6738454386445</v>
      </c>
      <c r="AC68" s="106">
        <f t="shared" si="42"/>
        <v>718588.28461353155</v>
      </c>
      <c r="AD68" s="106">
        <f t="shared" si="42"/>
        <v>35929.414230676586</v>
      </c>
      <c r="AE68" s="106"/>
      <c r="AF68" s="106">
        <f t="shared" si="43"/>
        <v>2030934.4007416933</v>
      </c>
      <c r="AG68" s="106">
        <f t="shared" si="44"/>
        <v>101546.72003708467</v>
      </c>
      <c r="AH68" s="106">
        <f t="shared" si="45"/>
        <v>43630.83</v>
      </c>
    </row>
    <row r="69" spans="1:36">
      <c r="A69" s="60">
        <v>46174</v>
      </c>
      <c r="B69" s="101" cm="1">
        <f t="array" ref="B69">INDEX(Fluxo_Caixa_Mensal!$H$90:$S$90, ROW(B69)-ROW($B$64)+1)</f>
        <v>30000</v>
      </c>
      <c r="C69" s="101">
        <f t="shared" si="48"/>
        <v>13.44834414</v>
      </c>
      <c r="D69" s="102">
        <f t="shared" si="46"/>
        <v>2230.7579050397503</v>
      </c>
      <c r="E69" s="103">
        <v>0.4</v>
      </c>
      <c r="F69" s="104">
        <f t="shared" si="30"/>
        <v>669.22737151192507</v>
      </c>
      <c r="G69" s="103">
        <v>0.6</v>
      </c>
      <c r="H69" s="104">
        <f t="shared" si="31"/>
        <v>401.53642290715504</v>
      </c>
      <c r="I69" s="152">
        <v>0.3</v>
      </c>
      <c r="J69" s="105">
        <v>0</v>
      </c>
      <c r="K69" s="103">
        <v>0</v>
      </c>
      <c r="L69" s="105">
        <f t="shared" si="32"/>
        <v>120.46092687214652</v>
      </c>
      <c r="M69" s="150">
        <f>(L69)/(D69+J69)</f>
        <v>5.3999999999999999E-2</v>
      </c>
      <c r="N69" s="105">
        <f t="shared" si="33"/>
        <v>215.40249681531424</v>
      </c>
      <c r="O69" s="106">
        <f t="shared" si="47"/>
        <v>249.04340999999999</v>
      </c>
      <c r="P69" s="103">
        <f t="shared" si="34"/>
        <v>0.04</v>
      </c>
      <c r="Q69" s="104">
        <f t="shared" si="35"/>
        <v>3.7976627977267099</v>
      </c>
      <c r="R69" s="62">
        <f t="shared" si="35"/>
        <v>211.60483401758751</v>
      </c>
      <c r="S69" s="62">
        <f t="shared" si="36"/>
        <v>15</v>
      </c>
      <c r="T69" s="106">
        <f t="shared" si="37"/>
        <v>805.69518793749967</v>
      </c>
      <c r="U69" s="106">
        <f t="shared" si="38"/>
        <v>15778.885075902346</v>
      </c>
      <c r="V69" s="62">
        <f t="shared" si="39"/>
        <v>3385.6773442814001</v>
      </c>
      <c r="W69" s="15">
        <f t="shared" si="39"/>
        <v>1107385.8602479475</v>
      </c>
      <c r="X69" s="15">
        <f t="shared" si="39"/>
        <v>55369.293012397378</v>
      </c>
      <c r="Y69" s="67">
        <f t="shared" si="40"/>
        <v>12.75</v>
      </c>
      <c r="Z69" s="103">
        <f t="shared" si="40"/>
        <v>0.15</v>
      </c>
      <c r="AA69" s="106">
        <f t="shared" si="41"/>
        <v>13412.052314516994</v>
      </c>
      <c r="AB69" s="105">
        <f t="shared" si="42"/>
        <v>2697.961633724241</v>
      </c>
      <c r="AC69" s="106">
        <f t="shared" si="42"/>
        <v>941277.98121075542</v>
      </c>
      <c r="AD69" s="106">
        <f t="shared" si="42"/>
        <v>47063.899060537769</v>
      </c>
      <c r="AE69" s="106"/>
      <c r="AF69" s="106">
        <f t="shared" si="43"/>
        <v>2972212.3819524487</v>
      </c>
      <c r="AG69" s="106">
        <f t="shared" si="44"/>
        <v>148610.61909762243</v>
      </c>
      <c r="AH69" s="106">
        <f t="shared" si="45"/>
        <v>73630.83</v>
      </c>
    </row>
    <row r="70" spans="1:36">
      <c r="A70" s="78">
        <v>46204</v>
      </c>
      <c r="B70" s="101" cm="1">
        <f t="array" ref="B70">INDEX(Fluxo_Caixa_Mensal!$H$90:$S$90, ROW(B70)-ROW($B$64)+1)</f>
        <v>100000</v>
      </c>
      <c r="C70" s="101">
        <f t="shared" si="48"/>
        <v>13.313860698599999</v>
      </c>
      <c r="D70" s="105">
        <f t="shared" si="46"/>
        <v>7510.9693772382161</v>
      </c>
      <c r="E70" s="103">
        <v>0.3</v>
      </c>
      <c r="F70" s="104">
        <f t="shared" si="30"/>
        <v>2253.2908131714648</v>
      </c>
      <c r="G70" s="103">
        <v>0.6</v>
      </c>
      <c r="H70" s="104">
        <f t="shared" si="31"/>
        <v>1351.974487902879</v>
      </c>
      <c r="I70" s="103">
        <v>0.3</v>
      </c>
      <c r="J70" s="105">
        <v>0</v>
      </c>
      <c r="K70" s="103">
        <v>0.2</v>
      </c>
      <c r="L70" s="105">
        <f t="shared" si="32"/>
        <v>405.59234637086365</v>
      </c>
      <c r="M70" s="150">
        <f t="shared" ref="M70:M77" si="49">L70/D70</f>
        <v>5.3999999999999999E-2</v>
      </c>
      <c r="N70" s="105">
        <f t="shared" si="33"/>
        <v>620.99484318617783</v>
      </c>
      <c r="O70" s="106">
        <f t="shared" si="47"/>
        <v>246.55297590000001</v>
      </c>
      <c r="P70" s="103">
        <f t="shared" si="34"/>
        <v>0.02</v>
      </c>
      <c r="Q70" s="104">
        <f t="shared" si="35"/>
        <v>4.3080499363062845</v>
      </c>
      <c r="R70" s="62">
        <f t="shared" si="35"/>
        <v>616.68679324987158</v>
      </c>
      <c r="S70" s="62">
        <f t="shared" si="36"/>
        <v>15</v>
      </c>
      <c r="T70" s="106">
        <f t="shared" si="37"/>
        <v>817.78061575656193</v>
      </c>
      <c r="U70" s="106">
        <f t="shared" si="38"/>
        <v>18069.344470692558</v>
      </c>
      <c r="V70" s="62">
        <f t="shared" si="39"/>
        <v>9866.9886919979454</v>
      </c>
      <c r="W70" s="15">
        <f t="shared" si="39"/>
        <v>3404123.2492503878</v>
      </c>
      <c r="X70" s="15">
        <f t="shared" si="39"/>
        <v>170206.16246251939</v>
      </c>
      <c r="Y70" s="67">
        <f t="shared" si="40"/>
        <v>12.75</v>
      </c>
      <c r="Z70" s="103">
        <f t="shared" si="40"/>
        <v>0.15</v>
      </c>
      <c r="AA70" s="106">
        <f t="shared" si="41"/>
        <v>15358.942800088675</v>
      </c>
      <c r="AB70" s="105">
        <f t="shared" si="42"/>
        <v>7862.7566139358623</v>
      </c>
      <c r="AC70" s="106">
        <f t="shared" si="42"/>
        <v>2893504.7618628298</v>
      </c>
      <c r="AD70" s="106">
        <f t="shared" si="42"/>
        <v>144675.2380931415</v>
      </c>
      <c r="AE70" s="106">
        <f>(R70*10%)*79.9</f>
        <v>4927.3274780664742</v>
      </c>
      <c r="AF70" s="106">
        <f t="shared" si="43"/>
        <v>5865717.1438152781</v>
      </c>
      <c r="AG70" s="106">
        <f t="shared" si="44"/>
        <v>293285.85719076393</v>
      </c>
      <c r="AH70" s="106">
        <f t="shared" si="45"/>
        <v>173630.83</v>
      </c>
    </row>
    <row r="71" spans="1:36">
      <c r="A71" s="60">
        <v>46235</v>
      </c>
      <c r="B71" s="101" cm="1">
        <f t="array" ref="B71">INDEX(Fluxo_Caixa_Mensal!$H$90:$S$90, ROW(B71)-ROW($B$64)+1)</f>
        <v>100000</v>
      </c>
      <c r="C71" s="101">
        <f t="shared" si="48"/>
        <v>13.180722091613999</v>
      </c>
      <c r="D71" s="105">
        <f t="shared" si="46"/>
        <v>7586.8377547860764</v>
      </c>
      <c r="E71" s="103">
        <v>0.3</v>
      </c>
      <c r="F71" s="104">
        <f t="shared" si="30"/>
        <v>2276.0513264358228</v>
      </c>
      <c r="G71" s="103">
        <v>0.6</v>
      </c>
      <c r="H71" s="104">
        <f t="shared" si="31"/>
        <v>1365.6307958614937</v>
      </c>
      <c r="I71" s="103">
        <v>0.3</v>
      </c>
      <c r="J71" s="105">
        <v>0</v>
      </c>
      <c r="K71" s="103">
        <v>0</v>
      </c>
      <c r="L71" s="105">
        <f t="shared" si="32"/>
        <v>409.68923875844808</v>
      </c>
      <c r="M71" s="150">
        <f t="shared" si="49"/>
        <v>5.3999999999999992E-2</v>
      </c>
      <c r="N71" s="105">
        <f t="shared" si="33"/>
        <v>1030.6840819446261</v>
      </c>
      <c r="O71" s="106">
        <f t="shared" si="47"/>
        <v>244.08744614100002</v>
      </c>
      <c r="P71" s="103">
        <f t="shared" si="34"/>
        <v>0.02</v>
      </c>
      <c r="Q71" s="104">
        <f t="shared" si="35"/>
        <v>12.419896863723558</v>
      </c>
      <c r="R71" s="62">
        <f t="shared" si="35"/>
        <v>1018.2641850809024</v>
      </c>
      <c r="S71" s="62">
        <f t="shared" si="36"/>
        <v>15</v>
      </c>
      <c r="T71" s="106">
        <f t="shared" si="37"/>
        <v>830.04732499291038</v>
      </c>
      <c r="U71" s="106">
        <f t="shared" si="38"/>
        <v>18780.441817899326</v>
      </c>
      <c r="V71" s="62">
        <f t="shared" si="39"/>
        <v>16292.226961294438</v>
      </c>
      <c r="W71" s="15">
        <f t="shared" si="39"/>
        <v>11319253.475853372</v>
      </c>
      <c r="X71" s="15">
        <f t="shared" si="39"/>
        <v>565962.67379266862</v>
      </c>
      <c r="Y71" s="67">
        <f t="shared" si="40"/>
        <v>12.75</v>
      </c>
      <c r="Z71" s="103">
        <f t="shared" si="40"/>
        <v>0.15</v>
      </c>
      <c r="AA71" s="106">
        <f t="shared" si="41"/>
        <v>15963.375545214427</v>
      </c>
      <c r="AB71" s="105">
        <f t="shared" si="42"/>
        <v>12982.868359781507</v>
      </c>
      <c r="AC71" s="106">
        <f t="shared" si="42"/>
        <v>9621365.4544753656</v>
      </c>
      <c r="AD71" s="106">
        <f t="shared" si="42"/>
        <v>481068.27272376837</v>
      </c>
      <c r="AE71" s="106">
        <f>(R71*15%)*79.9</f>
        <v>12203.896258194614</v>
      </c>
      <c r="AF71" s="106">
        <f t="shared" si="43"/>
        <v>15487082.598290643</v>
      </c>
      <c r="AG71" s="106">
        <f t="shared" si="44"/>
        <v>774354.1299145323</v>
      </c>
      <c r="AH71" s="106">
        <f t="shared" si="45"/>
        <v>273630.82999999996</v>
      </c>
    </row>
    <row r="72" spans="1:36">
      <c r="A72" s="78">
        <v>46266</v>
      </c>
      <c r="B72" s="101" cm="1">
        <f t="array" ref="B72">INDEX(Fluxo_Caixa_Mensal!$H$90:$S$90, ROW(B72)-ROW($B$64)+1)</f>
        <v>100000</v>
      </c>
      <c r="C72" s="101">
        <f t="shared" si="48"/>
        <v>13.048914870697859</v>
      </c>
      <c r="D72" s="105">
        <f t="shared" si="46"/>
        <v>7663.4724795818966</v>
      </c>
      <c r="E72" s="103">
        <v>0.3</v>
      </c>
      <c r="F72" s="104">
        <f t="shared" si="30"/>
        <v>2299.041743874569</v>
      </c>
      <c r="G72" s="103">
        <v>0.6</v>
      </c>
      <c r="H72" s="104">
        <f t="shared" si="31"/>
        <v>1379.4250463247413</v>
      </c>
      <c r="I72" s="103">
        <v>0.3</v>
      </c>
      <c r="J72" s="105">
        <v>0</v>
      </c>
      <c r="K72" s="103">
        <v>0</v>
      </c>
      <c r="L72" s="105">
        <f t="shared" si="32"/>
        <v>413.82751389742236</v>
      </c>
      <c r="M72" s="150">
        <f t="shared" si="49"/>
        <v>5.3999999999999992E-2</v>
      </c>
      <c r="N72" s="105">
        <f t="shared" si="33"/>
        <v>1444.5115958420483</v>
      </c>
      <c r="O72" s="106">
        <f t="shared" si="47"/>
        <v>241.64657167959001</v>
      </c>
      <c r="P72" s="103">
        <f t="shared" si="34"/>
        <v>0.02</v>
      </c>
      <c r="Q72" s="104">
        <f t="shared" si="35"/>
        <v>20.613681638892523</v>
      </c>
      <c r="R72" s="62">
        <f t="shared" si="35"/>
        <v>1423.8979142031558</v>
      </c>
      <c r="S72" s="62">
        <f t="shared" si="36"/>
        <v>15</v>
      </c>
      <c r="T72" s="106">
        <f t="shared" si="37"/>
        <v>842.49803486780399</v>
      </c>
      <c r="U72" s="106">
        <f t="shared" si="38"/>
        <v>19256.106098237342</v>
      </c>
      <c r="V72" s="62">
        <f t="shared" si="39"/>
        <v>22782.366627250492</v>
      </c>
      <c r="W72" s="15">
        <f t="shared" si="39"/>
        <v>19415850.499173429</v>
      </c>
      <c r="X72" s="15">
        <f t="shared" si="39"/>
        <v>1383956.2112892242</v>
      </c>
      <c r="Y72" s="67">
        <f t="shared" si="40"/>
        <v>12.75</v>
      </c>
      <c r="Z72" s="103">
        <f t="shared" si="40"/>
        <v>0.15</v>
      </c>
      <c r="AA72" s="106">
        <f t="shared" si="41"/>
        <v>16367.690183501742</v>
      </c>
      <c r="AB72" s="105">
        <f t="shared" si="42"/>
        <v>18154.69840609024</v>
      </c>
      <c r="AC72" s="106">
        <f t="shared" si="42"/>
        <v>16503472.924297415</v>
      </c>
      <c r="AD72" s="106">
        <f t="shared" si="42"/>
        <v>1176362.7795958405</v>
      </c>
      <c r="AE72" s="106">
        <f>(R72*20%)*79.9</f>
        <v>22753.888668966432</v>
      </c>
      <c r="AF72" s="106">
        <f t="shared" si="43"/>
        <v>31990555.522588059</v>
      </c>
      <c r="AG72" s="106">
        <f t="shared" si="44"/>
        <v>1950716.9095103729</v>
      </c>
      <c r="AH72" s="106">
        <f t="shared" si="45"/>
        <v>373630.82999999996</v>
      </c>
    </row>
    <row r="73" spans="1:36">
      <c r="A73" s="60">
        <v>46296</v>
      </c>
      <c r="B73" s="101" cm="1">
        <f t="array" ref="B73">INDEX(Fluxo_Caixa_Mensal!$H$90:$S$90, ROW(B73)-ROW($B$64)+1)</f>
        <v>100000</v>
      </c>
      <c r="C73" s="101">
        <f t="shared" si="48"/>
        <v>12.91842572199088</v>
      </c>
      <c r="D73" s="105">
        <f t="shared" si="46"/>
        <v>7740.881292506966</v>
      </c>
      <c r="E73" s="103">
        <v>0.3</v>
      </c>
      <c r="F73" s="104">
        <f t="shared" si="30"/>
        <v>2322.2643877520895</v>
      </c>
      <c r="G73" s="103">
        <v>0.6</v>
      </c>
      <c r="H73" s="104">
        <f t="shared" si="31"/>
        <v>1393.3586326512536</v>
      </c>
      <c r="I73" s="103">
        <v>0.3</v>
      </c>
      <c r="J73" s="105">
        <v>0</v>
      </c>
      <c r="K73" s="103">
        <v>0</v>
      </c>
      <c r="L73" s="105">
        <f t="shared" si="32"/>
        <v>418.00758979537613</v>
      </c>
      <c r="M73" s="150">
        <f t="shared" si="49"/>
        <v>5.3999999999999999E-2</v>
      </c>
      <c r="N73" s="105">
        <f t="shared" si="33"/>
        <v>1862.5191856374245</v>
      </c>
      <c r="O73" s="106">
        <f t="shared" si="47"/>
        <v>239.23010596279414</v>
      </c>
      <c r="P73" s="103">
        <f t="shared" si="34"/>
        <v>0.03</v>
      </c>
      <c r="Q73" s="104">
        <f t="shared" si="35"/>
        <v>43.335347875261448</v>
      </c>
      <c r="R73" s="62">
        <f t="shared" si="35"/>
        <v>1819.183837762163</v>
      </c>
      <c r="S73" s="62">
        <f t="shared" si="36"/>
        <v>15</v>
      </c>
      <c r="T73" s="106">
        <f t="shared" si="37"/>
        <v>855.13550539082098</v>
      </c>
      <c r="U73" s="106">
        <f t="shared" si="38"/>
        <v>19654.990730286063</v>
      </c>
      <c r="V73" s="62">
        <f t="shared" si="39"/>
        <v>29106.941404194607</v>
      </c>
      <c r="W73" s="15">
        <f t="shared" si="39"/>
        <v>27834068.402620617</v>
      </c>
      <c r="X73" s="15">
        <f t="shared" si="39"/>
        <v>1981065.859052578</v>
      </c>
      <c r="Y73" s="67">
        <f t="shared" si="40"/>
        <v>12.75</v>
      </c>
      <c r="Z73" s="103">
        <f t="shared" si="40"/>
        <v>0.15</v>
      </c>
      <c r="AA73" s="106">
        <f t="shared" si="41"/>
        <v>16706.742120743154</v>
      </c>
      <c r="AB73" s="105">
        <f t="shared" si="42"/>
        <v>23194.593931467578</v>
      </c>
      <c r="AC73" s="106">
        <f t="shared" si="42"/>
        <v>23658958.142227527</v>
      </c>
      <c r="AD73" s="106">
        <f t="shared" si="42"/>
        <v>1683905.9801946913</v>
      </c>
      <c r="AE73" s="106">
        <f>(R73*25%)*79.9</f>
        <v>36338.197159299205</v>
      </c>
      <c r="AF73" s="106">
        <f t="shared" si="43"/>
        <v>55649513.66481559</v>
      </c>
      <c r="AG73" s="106">
        <f t="shared" si="44"/>
        <v>3634622.8897050642</v>
      </c>
      <c r="AH73" s="106">
        <f t="shared" si="45"/>
        <v>473630.82999999996</v>
      </c>
    </row>
    <row r="74" spans="1:36">
      <c r="A74" s="78">
        <v>46327</v>
      </c>
      <c r="B74" s="101" cm="1">
        <f t="array" ref="B74">INDEX(Fluxo_Caixa_Mensal!$H$90:$S$90, ROW(B74)-ROW($B$64)+1)</f>
        <v>100000</v>
      </c>
      <c r="C74" s="101">
        <f t="shared" si="48"/>
        <v>12.789241464770971</v>
      </c>
      <c r="D74" s="105">
        <f t="shared" si="46"/>
        <v>7819.0720126332999</v>
      </c>
      <c r="E74" s="103">
        <v>0.3</v>
      </c>
      <c r="F74" s="104">
        <f t="shared" si="30"/>
        <v>2345.7216037899898</v>
      </c>
      <c r="G74" s="103">
        <v>0.6</v>
      </c>
      <c r="H74" s="104">
        <f t="shared" si="31"/>
        <v>1407.4329622739938</v>
      </c>
      <c r="I74" s="103">
        <v>0.3</v>
      </c>
      <c r="J74" s="105">
        <v>0</v>
      </c>
      <c r="K74" s="103">
        <v>0</v>
      </c>
      <c r="L74" s="105">
        <f t="shared" si="32"/>
        <v>422.22988868219818</v>
      </c>
      <c r="M74" s="150">
        <f t="shared" si="49"/>
        <v>5.3999999999999999E-2</v>
      </c>
      <c r="N74" s="105">
        <f t="shared" si="33"/>
        <v>2284.7490743196227</v>
      </c>
      <c r="O74" s="106">
        <f t="shared" si="47"/>
        <v>236.83780490316613</v>
      </c>
      <c r="P74" s="103">
        <f t="shared" si="34"/>
        <v>0.02</v>
      </c>
      <c r="Q74" s="104">
        <f t="shared" si="35"/>
        <v>37.250383712748487</v>
      </c>
      <c r="R74" s="62">
        <f t="shared" si="35"/>
        <v>2247.4986906068743</v>
      </c>
      <c r="S74" s="62">
        <f t="shared" si="36"/>
        <v>15</v>
      </c>
      <c r="T74" s="106">
        <f t="shared" si="37"/>
        <v>867.9625379716831</v>
      </c>
      <c r="U74" s="106">
        <f t="shared" si="38"/>
        <v>20021.146203520893</v>
      </c>
      <c r="V74" s="62">
        <f t="shared" si="39"/>
        <v>35959.979049709989</v>
      </c>
      <c r="W74" s="15">
        <f t="shared" si="39"/>
        <v>36297222.374666303</v>
      </c>
      <c r="X74" s="15">
        <f t="shared" si="39"/>
        <v>2638409.6934342859</v>
      </c>
      <c r="Y74" s="67">
        <f t="shared" si="40"/>
        <v>12.75</v>
      </c>
      <c r="Z74" s="103">
        <f t="shared" si="40"/>
        <v>0.15</v>
      </c>
      <c r="AA74" s="106">
        <f t="shared" si="41"/>
        <v>17017.974272992757</v>
      </c>
      <c r="AB74" s="105">
        <f t="shared" si="42"/>
        <v>28655.608305237649</v>
      </c>
      <c r="AC74" s="106">
        <f t="shared" si="42"/>
        <v>30852639.018466361</v>
      </c>
      <c r="AD74" s="106">
        <f t="shared" si="42"/>
        <v>2242648.2394191432</v>
      </c>
      <c r="AE74" s="106">
        <f t="shared" ref="AE74:AE77" si="50">(R74*30%)*79.9</f>
        <v>53872.543613846778</v>
      </c>
      <c r="AF74" s="106">
        <f t="shared" si="43"/>
        <v>86502152.683281943</v>
      </c>
      <c r="AG74" s="106">
        <f t="shared" si="44"/>
        <v>5877271.1291242074</v>
      </c>
      <c r="AH74" s="106">
        <f t="shared" si="45"/>
        <v>573630.82999999996</v>
      </c>
    </row>
    <row r="75" spans="1:36">
      <c r="A75" s="60">
        <v>46357</v>
      </c>
      <c r="B75" s="101" cm="1">
        <f t="array" ref="B75">INDEX(Fluxo_Caixa_Mensal!$H$90:$S$90, ROW(B75)-ROW($B$64)+1)</f>
        <v>100000</v>
      </c>
      <c r="C75" s="101">
        <f t="shared" si="48"/>
        <v>12.661349050123262</v>
      </c>
      <c r="D75" s="105">
        <f t="shared" si="46"/>
        <v>7898.0525380134341</v>
      </c>
      <c r="E75" s="103">
        <v>0.3</v>
      </c>
      <c r="F75" s="104">
        <f t="shared" si="30"/>
        <v>2369.41576140403</v>
      </c>
      <c r="G75" s="103">
        <v>0.6</v>
      </c>
      <c r="H75" s="104">
        <f t="shared" si="31"/>
        <v>1421.6494568424182</v>
      </c>
      <c r="I75" s="103">
        <v>0.3</v>
      </c>
      <c r="J75" s="105">
        <v>0</v>
      </c>
      <c r="K75" s="103">
        <v>0</v>
      </c>
      <c r="L75" s="105">
        <f t="shared" si="32"/>
        <v>426.49483705272542</v>
      </c>
      <c r="M75" s="150">
        <f t="shared" si="49"/>
        <v>5.3999999999999999E-2</v>
      </c>
      <c r="N75" s="105">
        <f t="shared" si="33"/>
        <v>2711.2439113723481</v>
      </c>
      <c r="O75" s="106">
        <f t="shared" si="47"/>
        <v>234.46942685413447</v>
      </c>
      <c r="P75" s="103">
        <f t="shared" si="34"/>
        <v>0.03</v>
      </c>
      <c r="Q75" s="104">
        <f t="shared" si="35"/>
        <v>68.542472229588682</v>
      </c>
      <c r="R75" s="62">
        <f t="shared" si="35"/>
        <v>2642.7014391427592</v>
      </c>
      <c r="S75" s="62">
        <f t="shared" si="36"/>
        <v>15</v>
      </c>
      <c r="T75" s="106">
        <f t="shared" si="37"/>
        <v>880.98197604125835</v>
      </c>
      <c r="U75" s="106">
        <f t="shared" si="38"/>
        <v>20371.702162743652</v>
      </c>
      <c r="V75" s="62">
        <f t="shared" si="39"/>
        <v>42283.223026284148</v>
      </c>
      <c r="W75" s="15">
        <f t="shared" si="39"/>
        <v>45675159.324083</v>
      </c>
      <c r="X75" s="15">
        <f t="shared" si="39"/>
        <v>3274111.9279019032</v>
      </c>
      <c r="Y75" s="67">
        <f t="shared" si="40"/>
        <v>12.75</v>
      </c>
      <c r="Z75" s="103">
        <f t="shared" si="40"/>
        <v>0.15</v>
      </c>
      <c r="AA75" s="106">
        <f t="shared" si="41"/>
        <v>17315.946838332104</v>
      </c>
      <c r="AB75" s="105">
        <f t="shared" si="42"/>
        <v>33694.443349070185</v>
      </c>
      <c r="AC75" s="106">
        <f t="shared" si="42"/>
        <v>38823885.425470553</v>
      </c>
      <c r="AD75" s="106">
        <f t="shared" si="42"/>
        <v>2782995.1387166176</v>
      </c>
      <c r="AE75" s="106">
        <f t="shared" si="50"/>
        <v>63345.553496251938</v>
      </c>
      <c r="AF75" s="106">
        <f t="shared" si="43"/>
        <v>125326038.1087525</v>
      </c>
      <c r="AG75" s="106">
        <f t="shared" si="44"/>
        <v>8660266.267840825</v>
      </c>
      <c r="AH75" s="106">
        <f t="shared" si="45"/>
        <v>673630.83</v>
      </c>
    </row>
    <row r="76" spans="1:36">
      <c r="A76" s="78">
        <v>46388</v>
      </c>
      <c r="B76" s="101">
        <v>100000</v>
      </c>
      <c r="C76" s="101">
        <f t="shared" si="48"/>
        <v>12.534735559622028</v>
      </c>
      <c r="D76" s="105">
        <f t="shared" si="46"/>
        <v>7977.8308464782167</v>
      </c>
      <c r="E76" s="103">
        <v>0.3</v>
      </c>
      <c r="F76" s="104">
        <f t="shared" si="30"/>
        <v>2393.3492539434646</v>
      </c>
      <c r="G76" s="103">
        <v>0.6</v>
      </c>
      <c r="H76" s="104">
        <f t="shared" si="31"/>
        <v>1436.0095523660789</v>
      </c>
      <c r="I76" s="103">
        <v>0.3</v>
      </c>
      <c r="J76" s="105">
        <v>0</v>
      </c>
      <c r="K76" s="103">
        <v>0</v>
      </c>
      <c r="L76" s="105">
        <f t="shared" si="32"/>
        <v>430.80286570982366</v>
      </c>
      <c r="M76" s="150">
        <f t="shared" si="49"/>
        <v>5.3999999999999992E-2</v>
      </c>
      <c r="N76" s="105">
        <f t="shared" si="33"/>
        <v>3142.0467770821715</v>
      </c>
      <c r="O76" s="106">
        <f t="shared" si="47"/>
        <v>232.12473258559314</v>
      </c>
      <c r="P76" s="103">
        <f t="shared" si="34"/>
        <v>0.03</v>
      </c>
      <c r="Q76" s="104">
        <f t="shared" si="35"/>
        <v>81.337317341170433</v>
      </c>
      <c r="R76" s="62">
        <f t="shared" si="35"/>
        <v>3060.7094597410014</v>
      </c>
      <c r="S76" s="62">
        <f t="shared" si="36"/>
        <v>15</v>
      </c>
      <c r="T76" s="106">
        <f t="shared" si="37"/>
        <v>894.19670568187701</v>
      </c>
      <c r="U76" s="106">
        <f t="shared" si="38"/>
        <v>20714.731477006986</v>
      </c>
      <c r="V76" s="62">
        <f t="shared" si="39"/>
        <v>48971.351355856023</v>
      </c>
      <c r="W76" s="15">
        <f t="shared" si="39"/>
        <v>54647366.664192937</v>
      </c>
      <c r="X76" s="15">
        <f t="shared" si="39"/>
        <v>3956028.8483649124</v>
      </c>
      <c r="Y76" s="67">
        <f t="shared" si="40"/>
        <v>12.75</v>
      </c>
      <c r="Z76" s="103">
        <f t="shared" si="40"/>
        <v>0.15</v>
      </c>
      <c r="AA76" s="106">
        <f t="shared" si="41"/>
        <v>17607.521755455935</v>
      </c>
      <c r="AB76" s="105">
        <f t="shared" si="42"/>
        <v>39024.045611697773</v>
      </c>
      <c r="AC76" s="106">
        <f t="shared" si="42"/>
        <v>46450261.664563999</v>
      </c>
      <c r="AD76" s="106">
        <f t="shared" si="42"/>
        <v>3362624.5211101752</v>
      </c>
      <c r="AE76" s="106">
        <f t="shared" si="50"/>
        <v>73365.205749991816</v>
      </c>
      <c r="AF76" s="106">
        <f t="shared" si="43"/>
        <v>171776299.7733165</v>
      </c>
      <c r="AG76" s="106">
        <f t="shared" si="44"/>
        <v>12022890.788951</v>
      </c>
      <c r="AH76" s="106">
        <f t="shared" si="45"/>
        <v>773630.83</v>
      </c>
    </row>
    <row r="77" spans="1:36">
      <c r="A77" s="60">
        <v>46419</v>
      </c>
      <c r="B77" s="101">
        <v>100000</v>
      </c>
      <c r="C77" s="101">
        <f t="shared" si="48"/>
        <v>12.409388204025808</v>
      </c>
      <c r="D77" s="105">
        <f t="shared" si="46"/>
        <v>8058.4149964426424</v>
      </c>
      <c r="E77" s="103">
        <v>0.3</v>
      </c>
      <c r="F77" s="104">
        <f t="shared" si="30"/>
        <v>2417.5244989327925</v>
      </c>
      <c r="G77" s="103">
        <v>0.6</v>
      </c>
      <c r="H77" s="104">
        <f t="shared" si="31"/>
        <v>1450.5146993596754</v>
      </c>
      <c r="I77" s="103">
        <v>0.3</v>
      </c>
      <c r="J77" s="105">
        <v>0</v>
      </c>
      <c r="K77" s="103">
        <v>0</v>
      </c>
      <c r="L77" s="105">
        <f t="shared" si="32"/>
        <v>435.1544098079026</v>
      </c>
      <c r="M77" s="150">
        <f t="shared" si="49"/>
        <v>5.3999999999999986E-2</v>
      </c>
      <c r="N77" s="105">
        <f t="shared" si="33"/>
        <v>3577.2011868900745</v>
      </c>
      <c r="O77" s="106">
        <f t="shared" si="47"/>
        <v>229.80348525973724</v>
      </c>
      <c r="P77" s="103">
        <f t="shared" si="34"/>
        <v>0.06</v>
      </c>
      <c r="Q77" s="104">
        <f t="shared" si="35"/>
        <v>188.5228066249303</v>
      </c>
      <c r="R77" s="62">
        <f t="shared" si="35"/>
        <v>3388.6783802651444</v>
      </c>
      <c r="S77" s="62">
        <f t="shared" si="36"/>
        <v>15</v>
      </c>
      <c r="T77" s="106">
        <f t="shared" si="37"/>
        <v>907.60965626710515</v>
      </c>
      <c r="U77" s="106">
        <f t="shared" si="38"/>
        <v>21054.556386555239</v>
      </c>
      <c r="V77" s="62">
        <f t="shared" si="39"/>
        <v>54218.85408424231</v>
      </c>
      <c r="W77" s="15">
        <f t="shared" si="39"/>
        <v>64355893.292474777</v>
      </c>
      <c r="X77" s="15">
        <f t="shared" si="39"/>
        <v>4533219.3053335827</v>
      </c>
      <c r="Y77" s="67">
        <f t="shared" si="40"/>
        <v>12.75</v>
      </c>
      <c r="Z77" s="103">
        <f t="shared" si="40"/>
        <v>0.15</v>
      </c>
      <c r="AA77" s="106">
        <f t="shared" si="41"/>
        <v>17896.372928571953</v>
      </c>
      <c r="AB77" s="105">
        <f t="shared" si="42"/>
        <v>43205.649348380597</v>
      </c>
      <c r="AC77" s="106">
        <f t="shared" si="42"/>
        <v>54702509.29860355</v>
      </c>
      <c r="AD77" s="106">
        <f t="shared" si="42"/>
        <v>3853236.4095335449</v>
      </c>
      <c r="AE77" s="106">
        <f t="shared" si="50"/>
        <v>81226.620774955518</v>
      </c>
      <c r="AF77" s="106">
        <f t="shared" si="43"/>
        <v>226478809.07192007</v>
      </c>
      <c r="AG77" s="106">
        <f t="shared" si="44"/>
        <v>15876127.198484546</v>
      </c>
      <c r="AH77" s="106">
        <f t="shared" si="45"/>
        <v>873630.83</v>
      </c>
    </row>
    <row r="78" spans="1:36" s="86" customFormat="1">
      <c r="A78" s="107"/>
      <c r="B78" s="108">
        <f>SUBTOTAL(109,B64:B77)</f>
        <v>873630.83000000007</v>
      </c>
      <c r="C78" s="108">
        <f>SUBTOTAL(101,C64:C77)</f>
        <v>13.105040557246058</v>
      </c>
      <c r="D78" s="109">
        <f>SUBTOTAL(109,D64:D77)</f>
        <v>69422.393189959781</v>
      </c>
      <c r="E78" s="110">
        <f>AVERAGE(E64:E77)</f>
        <v>0.2614285714285714</v>
      </c>
      <c r="F78" s="111"/>
      <c r="G78" s="110">
        <f>AVERAGE(G64:G77)</f>
        <v>0.53571428571428559</v>
      </c>
      <c r="H78" s="111"/>
      <c r="I78" s="110">
        <f>AVERAGE(I64:I77)</f>
        <v>0.32857142857142846</v>
      </c>
      <c r="J78" s="110"/>
      <c r="K78" s="110"/>
      <c r="L78" s="112">
        <f>SUBTOTAL(109,L64:L77)</f>
        <v>3577.201186890074</v>
      </c>
      <c r="M78" s="151">
        <f>AVERAGE(M64:M77)</f>
        <v>4.3714285714285712E-2</v>
      </c>
      <c r="N78" s="112">
        <f>AVERAGE(N64:N77)</f>
        <v>1230.2021495131935</v>
      </c>
      <c r="O78" s="108">
        <f>SUBTOTAL(101,O64:O77)</f>
        <v>253.79247851697809</v>
      </c>
      <c r="P78" s="114">
        <f>AVERAGE(P64:P77)</f>
        <v>2.571428571428571E-2</v>
      </c>
      <c r="Q78" s="112">
        <f>SUBTOTAL(109,Q64:Q77)</f>
        <v>465.67172642338312</v>
      </c>
      <c r="R78" s="112">
        <f>R77</f>
        <v>3388.6783802651444</v>
      </c>
      <c r="S78" s="112"/>
      <c r="T78" s="115"/>
      <c r="U78" s="108">
        <f>SUBTOTAL(101,U64:U77)</f>
        <v>16580.484953902193</v>
      </c>
      <c r="V78" s="112"/>
      <c r="W78" s="115">
        <f>SUBTOTAL(109,W64:W77)</f>
        <v>266445657.73167065</v>
      </c>
      <c r="X78" s="115">
        <f>SUBTOTAL(109,X64:X77)</f>
        <v>18677796.704099465</v>
      </c>
      <c r="Y78" s="112"/>
      <c r="Z78" s="113">
        <f>AVERAGE(Z64:Z77)</f>
        <v>0.20357142857142849</v>
      </c>
      <c r="AA78" s="115">
        <f>AVERAGE(AA64:AA77)</f>
        <v>13680.826052793349</v>
      </c>
      <c r="AB78" s="116"/>
      <c r="AC78" s="108">
        <f>SUBTOTAL(109,AC64:AC77)</f>
        <v>226478809.07192004</v>
      </c>
      <c r="AD78" s="108">
        <f>SUBTOTAL(109,AD64:AD77)</f>
        <v>15876127.198484546</v>
      </c>
      <c r="AE78" s="108">
        <f>SUBTOTAL(109,AE64:AE77)</f>
        <v>348033.23319957277</v>
      </c>
      <c r="AF78" s="108">
        <f>SUBTOTAL(109,AF64:AF77)</f>
        <v>726035956.03622782</v>
      </c>
      <c r="AG78" s="117"/>
      <c r="AH78" s="117"/>
      <c r="AI78" s="117"/>
      <c r="AJ78" s="118"/>
    </row>
    <row r="79" spans="1:36">
      <c r="A79" s="60"/>
      <c r="B79" s="119"/>
      <c r="C79" s="119"/>
      <c r="D79" s="119"/>
      <c r="E79" s="119"/>
      <c r="F79" s="119"/>
      <c r="G79" s="119"/>
      <c r="H79" s="119"/>
      <c r="I79" s="119"/>
      <c r="J79" s="120"/>
      <c r="K79" s="121"/>
      <c r="L79" s="119"/>
      <c r="M79" s="119"/>
      <c r="N79" s="119"/>
      <c r="O79" s="119"/>
      <c r="P79" s="119"/>
      <c r="Q79" s="119"/>
      <c r="R79" s="119"/>
      <c r="S79" s="119"/>
      <c r="T79" s="120"/>
      <c r="U79" s="119"/>
      <c r="V79" s="120"/>
      <c r="W79" s="120"/>
      <c r="X79" s="120"/>
      <c r="Y79" s="122"/>
      <c r="Z79" s="119"/>
      <c r="AA79" s="119"/>
      <c r="AB79" s="123"/>
      <c r="AC79" s="119"/>
      <c r="AD79" s="119"/>
      <c r="AE79" s="119"/>
      <c r="AF79" s="119"/>
      <c r="AG79" s="119"/>
      <c r="AH79" s="119"/>
      <c r="AI79" s="124"/>
    </row>
    <row r="80" spans="1:36">
      <c r="A80" s="78"/>
      <c r="B80" s="125"/>
      <c r="C80" s="126" t="s">
        <v>253</v>
      </c>
      <c r="D80" s="127">
        <f>D78/130000</f>
        <v>0.53401840915353682</v>
      </c>
      <c r="E80" s="126"/>
      <c r="F80" s="126"/>
      <c r="G80" s="126"/>
      <c r="H80" s="126"/>
      <c r="I80" s="126"/>
      <c r="J80" s="127"/>
      <c r="K80" s="128"/>
      <c r="L80" s="127"/>
      <c r="M80" s="127"/>
      <c r="N80" s="125"/>
      <c r="O80" s="125"/>
      <c r="P80" s="125"/>
      <c r="Q80" s="126" t="s">
        <v>253</v>
      </c>
      <c r="R80" s="127">
        <f>R78/130000</f>
        <v>2.6066756771270343E-2</v>
      </c>
      <c r="S80" s="125"/>
      <c r="T80" s="129"/>
      <c r="U80" s="125"/>
      <c r="V80" s="129"/>
      <c r="W80" s="129"/>
      <c r="X80" s="129"/>
      <c r="Y80" s="116"/>
      <c r="Z80" s="125"/>
      <c r="AA80" s="125"/>
      <c r="AB80" s="116"/>
      <c r="AC80" s="130"/>
      <c r="AD80" s="126"/>
      <c r="AE80" s="125"/>
      <c r="AF80" s="129"/>
      <c r="AG80" s="125"/>
      <c r="AH80" s="125"/>
      <c r="AI80" s="131"/>
    </row>
    <row r="84" spans="4:28">
      <c r="AA84" s="15"/>
    </row>
    <row r="85" spans="4:28">
      <c r="L85" s="44"/>
    </row>
    <row r="86" spans="4:28">
      <c r="AA86" s="15"/>
      <c r="AB86" s="15"/>
    </row>
    <row r="88" spans="4:28">
      <c r="D88" s="132">
        <v>2578</v>
      </c>
      <c r="E88" s="62">
        <f>D88*F88</f>
        <v>515.6</v>
      </c>
      <c r="F88" s="88">
        <v>0.2</v>
      </c>
    </row>
    <row r="89" spans="4:28">
      <c r="D89" s="132">
        <v>2578</v>
      </c>
      <c r="E89" s="62">
        <f t="shared" ref="E89:E90" si="51">D89*F89</f>
        <v>1031.2</v>
      </c>
      <c r="F89" s="88">
        <v>0.4</v>
      </c>
      <c r="G89" s="44">
        <f>57/1429</f>
        <v>3.9888033589923023E-2</v>
      </c>
    </row>
    <row r="90" spans="4:28">
      <c r="D90" s="132">
        <v>2578</v>
      </c>
      <c r="E90" s="62">
        <f t="shared" si="51"/>
        <v>1031.2</v>
      </c>
      <c r="F90" s="88">
        <v>0.4</v>
      </c>
    </row>
  </sheetData>
  <dataConsolidate/>
  <mergeCells count="24">
    <mergeCell ref="X21:AD21"/>
    <mergeCell ref="C1:D1"/>
    <mergeCell ref="E1:F1"/>
    <mergeCell ref="G1:H1"/>
    <mergeCell ref="I1:M1"/>
    <mergeCell ref="N1:Q1"/>
    <mergeCell ref="X1:AD1"/>
    <mergeCell ref="C21:D21"/>
    <mergeCell ref="E21:F21"/>
    <mergeCell ref="G21:H21"/>
    <mergeCell ref="I21:M21"/>
    <mergeCell ref="N21:Q21"/>
    <mergeCell ref="X62:AD62"/>
    <mergeCell ref="C41:D41"/>
    <mergeCell ref="E41:F41"/>
    <mergeCell ref="G41:H41"/>
    <mergeCell ref="I41:M41"/>
    <mergeCell ref="N41:Q41"/>
    <mergeCell ref="X41:AD41"/>
    <mergeCell ref="C62:D62"/>
    <mergeCell ref="E62:F62"/>
    <mergeCell ref="G62:H62"/>
    <mergeCell ref="I62:M62"/>
    <mergeCell ref="N62:Q62"/>
  </mergeCells>
  <pageMargins left="0.7" right="0.7" top="0.75" bottom="0.75" header="0.3" footer="0.3"/>
  <pageSetup paperSize="8" orientation="portrait" horizontalDpi="0" verticalDpi="0"/>
  <ignoredErrors>
    <ignoredError sqref="M69" formula="1"/>
  </ignoredErrors>
  <legacy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76e2f9-8655-45b6-a401-38bf0ffddf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8AF00737438B4C9934351B6CE6F3E2" ma:contentTypeVersion="15" ma:contentTypeDescription="Crie um novo documento." ma:contentTypeScope="" ma:versionID="ada4130795cc0c0c2418abfdefbace04">
  <xsd:schema xmlns:xsd="http://www.w3.org/2001/XMLSchema" xmlns:xs="http://www.w3.org/2001/XMLSchema" xmlns:p="http://schemas.microsoft.com/office/2006/metadata/properties" xmlns:ns2="3676e2f9-8655-45b6-a401-38bf0ffddf71" xmlns:ns3="d61d82dc-9586-4e82-af8a-d09f4b6f7063" targetNamespace="http://schemas.microsoft.com/office/2006/metadata/properties" ma:root="true" ma:fieldsID="c4ae2dcaa9a8cec46498bd22ad457343" ns2:_="" ns3:_="">
    <xsd:import namespace="3676e2f9-8655-45b6-a401-38bf0ffddf71"/>
    <xsd:import namespace="d61d82dc-9586-4e82-af8a-d09f4b6f70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6e2f9-8655-45b6-a401-38bf0ffdd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35c58bf-a790-4462-921b-2fafd652f6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d82dc-9586-4e82-af8a-d09f4b6f70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AB7CC0-2783-4B23-B2CD-F5C0B9533F78}"/>
</file>

<file path=customXml/itemProps2.xml><?xml version="1.0" encoding="utf-8"?>
<ds:datastoreItem xmlns:ds="http://schemas.openxmlformats.org/officeDocument/2006/customXml" ds:itemID="{FC2D4A20-AB69-491E-B163-D42DC3C0FE21}"/>
</file>

<file path=customXml/itemProps3.xml><?xml version="1.0" encoding="utf-8"?>
<ds:datastoreItem xmlns:ds="http://schemas.openxmlformats.org/officeDocument/2006/customXml" ds:itemID="{24BC221D-7EC4-45F3-ABB1-876B426FA0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2026-01-03T17:47:39Z</dcterms:created>
  <dcterms:modified xsi:type="dcterms:W3CDTF">2026-03-03T20:54:49Z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0x010100938AF00737438B4C9934351B6CE6F3E2</vt:lpwstr>
  </property>
  <property fmtid="{D5CDD505-2E9C-101B-9397-08002B2CF9AE}" pid="3" name="MediaServiceImageTags">
    <vt:lpwstr/>
  </property>
</Properties>
</file>